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ashboard\Dashboard Monitoring Anomali\"/>
    </mc:Choice>
  </mc:AlternateContent>
  <xr:revisionPtr revIDLastSave="0" documentId="13_ncr:1_{AAB41F39-F829-408E-976E-48E26F384D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lisih Penduduk 09092026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8" i="2" l="1"/>
  <c r="J78" i="2"/>
  <c r="I78" i="2"/>
  <c r="H78" i="2"/>
  <c r="G78" i="2"/>
  <c r="F78" i="2"/>
  <c r="E78" i="2"/>
  <c r="D78" i="2"/>
  <c r="M78" i="2" s="1"/>
  <c r="N78" i="2" s="1"/>
  <c r="M77" i="2"/>
  <c r="N77" i="2" s="1"/>
  <c r="L77" i="2"/>
  <c r="O77" i="2" s="1"/>
  <c r="P77" i="2" s="1"/>
  <c r="N76" i="2"/>
  <c r="M76" i="2"/>
  <c r="L76" i="2"/>
  <c r="O76" i="2" s="1"/>
  <c r="P76" i="2" s="1"/>
  <c r="O75" i="2"/>
  <c r="P75" i="2" s="1"/>
  <c r="M75" i="2"/>
  <c r="N75" i="2" s="1"/>
  <c r="L75" i="2"/>
  <c r="M74" i="2"/>
  <c r="N74" i="2" s="1"/>
  <c r="L74" i="2"/>
  <c r="O73" i="2"/>
  <c r="P73" i="2" s="1"/>
  <c r="M73" i="2"/>
  <c r="N73" i="2" s="1"/>
  <c r="L73" i="2"/>
  <c r="K72" i="2"/>
  <c r="J72" i="2"/>
  <c r="I72" i="2"/>
  <c r="H72" i="2"/>
  <c r="G72" i="2"/>
  <c r="F72" i="2"/>
  <c r="E72" i="2"/>
  <c r="D72" i="2"/>
  <c r="M71" i="2"/>
  <c r="N71" i="2" s="1"/>
  <c r="L71" i="2"/>
  <c r="O71" i="2" s="1"/>
  <c r="P71" i="2" s="1"/>
  <c r="O70" i="2"/>
  <c r="P70" i="2" s="1"/>
  <c r="N70" i="2"/>
  <c r="M70" i="2"/>
  <c r="L70" i="2"/>
  <c r="M69" i="2"/>
  <c r="N69" i="2" s="1"/>
  <c r="L69" i="2"/>
  <c r="O69" i="2" s="1"/>
  <c r="P69" i="2" s="1"/>
  <c r="N68" i="2"/>
  <c r="M68" i="2"/>
  <c r="L68" i="2"/>
  <c r="O68" i="2" s="1"/>
  <c r="P68" i="2" s="1"/>
  <c r="O67" i="2"/>
  <c r="P67" i="2" s="1"/>
  <c r="N67" i="2"/>
  <c r="M67" i="2"/>
  <c r="L67" i="2"/>
  <c r="M66" i="2"/>
  <c r="N66" i="2" s="1"/>
  <c r="L66" i="2"/>
  <c r="O66" i="2" s="1"/>
  <c r="P66" i="2" s="1"/>
  <c r="O65" i="2"/>
  <c r="P65" i="2" s="1"/>
  <c r="M65" i="2"/>
  <c r="N65" i="2" s="1"/>
  <c r="L65" i="2"/>
  <c r="M64" i="2"/>
  <c r="N64" i="2" s="1"/>
  <c r="L64" i="2"/>
  <c r="O64" i="2" s="1"/>
  <c r="P64" i="2" s="1"/>
  <c r="M63" i="2"/>
  <c r="N63" i="2" s="1"/>
  <c r="L63" i="2"/>
  <c r="O63" i="2" s="1"/>
  <c r="P63" i="2" s="1"/>
  <c r="O62" i="2"/>
  <c r="P62" i="2" s="1"/>
  <c r="N62" i="2"/>
  <c r="M62" i="2"/>
  <c r="L62" i="2"/>
  <c r="M61" i="2"/>
  <c r="N61" i="2" s="1"/>
  <c r="L61" i="2"/>
  <c r="O61" i="2" s="1"/>
  <c r="P61" i="2" s="1"/>
  <c r="N60" i="2"/>
  <c r="M60" i="2"/>
  <c r="L60" i="2"/>
  <c r="O60" i="2" s="1"/>
  <c r="P60" i="2" s="1"/>
  <c r="M59" i="2"/>
  <c r="N59" i="2" s="1"/>
  <c r="K59" i="2"/>
  <c r="J59" i="2"/>
  <c r="I59" i="2"/>
  <c r="H59" i="2"/>
  <c r="G59" i="2"/>
  <c r="F59" i="2"/>
  <c r="E59" i="2"/>
  <c r="D59" i="2"/>
  <c r="M58" i="2"/>
  <c r="N58" i="2" s="1"/>
  <c r="L58" i="2"/>
  <c r="O58" i="2" s="1"/>
  <c r="P58" i="2" s="1"/>
  <c r="O57" i="2"/>
  <c r="P57" i="2" s="1"/>
  <c r="M57" i="2"/>
  <c r="N57" i="2" s="1"/>
  <c r="L57" i="2"/>
  <c r="M56" i="2"/>
  <c r="N56" i="2" s="1"/>
  <c r="L56" i="2"/>
  <c r="O56" i="2" s="1"/>
  <c r="P56" i="2" s="1"/>
  <c r="M55" i="2"/>
  <c r="N55" i="2" s="1"/>
  <c r="L55" i="2"/>
  <c r="O55" i="2" s="1"/>
  <c r="P55" i="2" s="1"/>
  <c r="O54" i="2"/>
  <c r="P54" i="2" s="1"/>
  <c r="N54" i="2"/>
  <c r="M54" i="2"/>
  <c r="L54" i="2"/>
  <c r="M53" i="2"/>
  <c r="N53" i="2" s="1"/>
  <c r="L53" i="2"/>
  <c r="O53" i="2" s="1"/>
  <c r="P53" i="2" s="1"/>
  <c r="P52" i="2"/>
  <c r="N52" i="2"/>
  <c r="M52" i="2"/>
  <c r="L52" i="2"/>
  <c r="O52" i="2" s="1"/>
  <c r="O51" i="2"/>
  <c r="P51" i="2" s="1"/>
  <c r="M51" i="2"/>
  <c r="N51" i="2" s="1"/>
  <c r="L51" i="2"/>
  <c r="M50" i="2"/>
  <c r="N50" i="2" s="1"/>
  <c r="L50" i="2"/>
  <c r="O50" i="2" s="1"/>
  <c r="P50" i="2" s="1"/>
  <c r="P49" i="2"/>
  <c r="O49" i="2"/>
  <c r="M49" i="2"/>
  <c r="N49" i="2" s="1"/>
  <c r="L49" i="2"/>
  <c r="M48" i="2"/>
  <c r="N48" i="2" s="1"/>
  <c r="L48" i="2"/>
  <c r="K47" i="2"/>
  <c r="K79" i="2" s="1"/>
  <c r="J47" i="2"/>
  <c r="J79" i="2" s="1"/>
  <c r="I47" i="2"/>
  <c r="H47" i="2"/>
  <c r="G47" i="2"/>
  <c r="F47" i="2"/>
  <c r="E47" i="2"/>
  <c r="D47" i="2"/>
  <c r="O46" i="2"/>
  <c r="P46" i="2" s="1"/>
  <c r="N46" i="2"/>
  <c r="M46" i="2"/>
  <c r="L46" i="2"/>
  <c r="M45" i="2"/>
  <c r="N45" i="2" s="1"/>
  <c r="L45" i="2"/>
  <c r="O45" i="2" s="1"/>
  <c r="P45" i="2" s="1"/>
  <c r="P44" i="2"/>
  <c r="N44" i="2"/>
  <c r="M44" i="2"/>
  <c r="L44" i="2"/>
  <c r="O44" i="2" s="1"/>
  <c r="O43" i="2"/>
  <c r="P43" i="2" s="1"/>
  <c r="M43" i="2"/>
  <c r="N43" i="2" s="1"/>
  <c r="L43" i="2"/>
  <c r="M42" i="2"/>
  <c r="N42" i="2" s="1"/>
  <c r="L42" i="2"/>
  <c r="O42" i="2" s="1"/>
  <c r="P42" i="2" s="1"/>
  <c r="P41" i="2"/>
  <c r="O41" i="2"/>
  <c r="M41" i="2"/>
  <c r="N41" i="2" s="1"/>
  <c r="L41" i="2"/>
  <c r="M40" i="2"/>
  <c r="N40" i="2" s="1"/>
  <c r="L40" i="2"/>
  <c r="O40" i="2" s="1"/>
  <c r="P40" i="2" s="1"/>
  <c r="M39" i="2"/>
  <c r="N39" i="2" s="1"/>
  <c r="L39" i="2"/>
  <c r="O39" i="2" s="1"/>
  <c r="P39" i="2" s="1"/>
  <c r="O38" i="2"/>
  <c r="P38" i="2" s="1"/>
  <c r="N38" i="2"/>
  <c r="M38" i="2"/>
  <c r="L38" i="2"/>
  <c r="M37" i="2"/>
  <c r="N37" i="2" s="1"/>
  <c r="L37" i="2"/>
  <c r="O37" i="2" s="1"/>
  <c r="P37" i="2" s="1"/>
  <c r="P36" i="2"/>
  <c r="N36" i="2"/>
  <c r="M36" i="2"/>
  <c r="L36" i="2"/>
  <c r="O36" i="2" s="1"/>
  <c r="O35" i="2"/>
  <c r="P35" i="2" s="1"/>
  <c r="M35" i="2"/>
  <c r="N35" i="2" s="1"/>
  <c r="L35" i="2"/>
  <c r="M34" i="2"/>
  <c r="N34" i="2" s="1"/>
  <c r="L34" i="2"/>
  <c r="O34" i="2" s="1"/>
  <c r="P34" i="2" s="1"/>
  <c r="O33" i="2"/>
  <c r="P33" i="2" s="1"/>
  <c r="M33" i="2"/>
  <c r="N33" i="2" s="1"/>
  <c r="L33" i="2"/>
  <c r="M32" i="2"/>
  <c r="N32" i="2" s="1"/>
  <c r="L32" i="2"/>
  <c r="O32" i="2" s="1"/>
  <c r="P32" i="2" s="1"/>
  <c r="M31" i="2"/>
  <c r="N31" i="2" s="1"/>
  <c r="L31" i="2"/>
  <c r="O31" i="2" s="1"/>
  <c r="P31" i="2" s="1"/>
  <c r="O30" i="2"/>
  <c r="P30" i="2" s="1"/>
  <c r="N30" i="2"/>
  <c r="M30" i="2"/>
  <c r="L30" i="2"/>
  <c r="K29" i="2"/>
  <c r="J29" i="2"/>
  <c r="I29" i="2"/>
  <c r="H29" i="2"/>
  <c r="G29" i="2"/>
  <c r="F29" i="2"/>
  <c r="E29" i="2"/>
  <c r="M29" i="2" s="1"/>
  <c r="N29" i="2" s="1"/>
  <c r="D29" i="2"/>
  <c r="N28" i="2"/>
  <c r="M28" i="2"/>
  <c r="L28" i="2"/>
  <c r="O28" i="2" s="1"/>
  <c r="P28" i="2" s="1"/>
  <c r="O27" i="2"/>
  <c r="P27" i="2" s="1"/>
  <c r="M27" i="2"/>
  <c r="N27" i="2" s="1"/>
  <c r="L27" i="2"/>
  <c r="M26" i="2"/>
  <c r="N26" i="2" s="1"/>
  <c r="L26" i="2"/>
  <c r="O26" i="2" s="1"/>
  <c r="P26" i="2" s="1"/>
  <c r="O25" i="2"/>
  <c r="P25" i="2" s="1"/>
  <c r="M25" i="2"/>
  <c r="N25" i="2" s="1"/>
  <c r="L25" i="2"/>
  <c r="O24" i="2"/>
  <c r="P24" i="2" s="1"/>
  <c r="M24" i="2"/>
  <c r="N24" i="2" s="1"/>
  <c r="L24" i="2"/>
  <c r="M23" i="2"/>
  <c r="N23" i="2" s="1"/>
  <c r="L23" i="2"/>
  <c r="O23" i="2" s="1"/>
  <c r="P23" i="2" s="1"/>
  <c r="O22" i="2"/>
  <c r="P22" i="2" s="1"/>
  <c r="N22" i="2"/>
  <c r="M22" i="2"/>
  <c r="L22" i="2"/>
  <c r="M21" i="2"/>
  <c r="N21" i="2" s="1"/>
  <c r="L21" i="2"/>
  <c r="O21" i="2" s="1"/>
  <c r="P21" i="2" s="1"/>
  <c r="P20" i="2"/>
  <c r="N20" i="2"/>
  <c r="M20" i="2"/>
  <c r="L20" i="2"/>
  <c r="O20" i="2" s="1"/>
  <c r="O19" i="2"/>
  <c r="P19" i="2" s="1"/>
  <c r="M19" i="2"/>
  <c r="N19" i="2" s="1"/>
  <c r="L19" i="2"/>
  <c r="M18" i="2"/>
  <c r="N18" i="2" s="1"/>
  <c r="L18" i="2"/>
  <c r="O18" i="2" s="1"/>
  <c r="P18" i="2" s="1"/>
  <c r="O17" i="2"/>
  <c r="P17" i="2" s="1"/>
  <c r="M17" i="2"/>
  <c r="N17" i="2" s="1"/>
  <c r="L17" i="2"/>
  <c r="M16" i="2"/>
  <c r="N16" i="2" s="1"/>
  <c r="L16" i="2"/>
  <c r="O16" i="2" s="1"/>
  <c r="P16" i="2" s="1"/>
  <c r="M15" i="2"/>
  <c r="N15" i="2" s="1"/>
  <c r="L15" i="2"/>
  <c r="O15" i="2" s="1"/>
  <c r="P15" i="2" s="1"/>
  <c r="O14" i="2"/>
  <c r="P14" i="2" s="1"/>
  <c r="N14" i="2"/>
  <c r="M14" i="2"/>
  <c r="L14" i="2"/>
  <c r="N13" i="2"/>
  <c r="M13" i="2"/>
  <c r="L13" i="2"/>
  <c r="O13" i="2" s="1"/>
  <c r="P13" i="2" s="1"/>
  <c r="K12" i="2"/>
  <c r="J12" i="2"/>
  <c r="I12" i="2"/>
  <c r="I79" i="2" s="1"/>
  <c r="H12" i="2"/>
  <c r="G12" i="2"/>
  <c r="F12" i="2"/>
  <c r="E12" i="2"/>
  <c r="D12" i="2"/>
  <c r="O11" i="2"/>
  <c r="P11" i="2" s="1"/>
  <c r="M11" i="2"/>
  <c r="N11" i="2" s="1"/>
  <c r="L11" i="2"/>
  <c r="M10" i="2"/>
  <c r="N10" i="2" s="1"/>
  <c r="L10" i="2"/>
  <c r="O10" i="2" s="1"/>
  <c r="P10" i="2" s="1"/>
  <c r="O9" i="2"/>
  <c r="P9" i="2" s="1"/>
  <c r="M9" i="2"/>
  <c r="N9" i="2" s="1"/>
  <c r="L9" i="2"/>
  <c r="O8" i="2"/>
  <c r="P8" i="2" s="1"/>
  <c r="N8" i="2"/>
  <c r="M8" i="2"/>
  <c r="L8" i="2"/>
  <c r="M7" i="2"/>
  <c r="N7" i="2" s="1"/>
  <c r="L7" i="2"/>
  <c r="O7" i="2" s="1"/>
  <c r="P7" i="2" s="1"/>
  <c r="O6" i="2"/>
  <c r="P6" i="2" s="1"/>
  <c r="N6" i="2"/>
  <c r="M6" i="2"/>
  <c r="L6" i="2"/>
  <c r="M5" i="2"/>
  <c r="N5" i="2" s="1"/>
  <c r="L5" i="2"/>
  <c r="O5" i="2" s="1"/>
  <c r="P5" i="2" s="1"/>
  <c r="N4" i="2"/>
  <c r="M4" i="2"/>
  <c r="L4" i="2"/>
  <c r="O4" i="2" s="1"/>
  <c r="P4" i="2" s="1"/>
  <c r="L59" i="2" l="1"/>
  <c r="O59" i="2" s="1"/>
  <c r="P59" i="2" s="1"/>
  <c r="O48" i="2"/>
  <c r="P48" i="2" s="1"/>
  <c r="E79" i="2"/>
  <c r="O12" i="2"/>
  <c r="P12" i="2" s="1"/>
  <c r="L78" i="2"/>
  <c r="O74" i="2"/>
  <c r="P74" i="2" s="1"/>
  <c r="H79" i="2"/>
  <c r="M72" i="2"/>
  <c r="N72" i="2" s="1"/>
  <c r="F79" i="2"/>
  <c r="G79" i="2"/>
  <c r="D79" i="2"/>
  <c r="L29" i="2"/>
  <c r="O29" i="2" s="1"/>
  <c r="P29" i="2" s="1"/>
  <c r="O72" i="2"/>
  <c r="P72" i="2" s="1"/>
  <c r="L72" i="2"/>
  <c r="L12" i="2"/>
  <c r="M47" i="2"/>
  <c r="N47" i="2" s="1"/>
  <c r="M12" i="2"/>
  <c r="N12" i="2" s="1"/>
  <c r="L47" i="2"/>
  <c r="O47" i="2" s="1"/>
  <c r="P47" i="2" s="1"/>
  <c r="L79" i="2" l="1"/>
  <c r="O78" i="2"/>
  <c r="P78" i="2" s="1"/>
  <c r="O79" i="2"/>
  <c r="P79" i="2" s="1"/>
  <c r="M79" i="2"/>
  <c r="N79" i="2" s="1"/>
</calcChain>
</file>

<file path=xl/sharedStrings.xml><?xml version="1.0" encoding="utf-8"?>
<sst xmlns="http://schemas.openxmlformats.org/spreadsheetml/2006/main" count="165" uniqueCount="93">
  <si>
    <t>No</t>
  </si>
  <si>
    <t>Kabupaten</t>
  </si>
  <si>
    <t>Kecamatan</t>
  </si>
  <si>
    <t>Jumlah Penduduk Dukcapil</t>
  </si>
  <si>
    <t>Jumlah Penduduk SE2026</t>
  </si>
  <si>
    <t>Tinggal Bersama Keluarga</t>
  </si>
  <si>
    <t>Anggota Keluarga Baru</t>
  </si>
  <si>
    <t>Meninggal</t>
  </si>
  <si>
    <t>Pindah Dalam Negeri (DN)</t>
  </si>
  <si>
    <t>Pindah Luar Negeri (LN)</t>
  </si>
  <si>
    <t>Jumlah Penduduk SE2026 Versi 2</t>
  </si>
  <si>
    <t>Selisih
Versi 1</t>
  </si>
  <si>
    <t>Persentase Perbedaan dengan Data Dukcapil Versi 1</t>
  </si>
  <si>
    <t>Selisih
Versi 2</t>
  </si>
  <si>
    <t>Persentase Perbedaan dengan Data Dukcapil Versi 2</t>
  </si>
  <si>
    <t>Majene</t>
  </si>
  <si>
    <t>Banggae</t>
  </si>
  <si>
    <t>Banggae Timur</t>
  </si>
  <si>
    <t>Pamboang</t>
  </si>
  <si>
    <t>Sendana</t>
  </si>
  <si>
    <t>Tammerodo</t>
  </si>
  <si>
    <t>Tubo Sendana</t>
  </si>
  <si>
    <t>Malunda</t>
  </si>
  <si>
    <t>Ulumanda</t>
  </si>
  <si>
    <t>JUMLAH</t>
  </si>
  <si>
    <t>Polewali Mandar</t>
  </si>
  <si>
    <t>Tinambung</t>
  </si>
  <si>
    <t>Balanipa</t>
  </si>
  <si>
    <t>Limboro</t>
  </si>
  <si>
    <t>Tubbi Taramanu</t>
  </si>
  <si>
    <t>Alu</t>
  </si>
  <si>
    <t>Campalagian</t>
  </si>
  <si>
    <t>Luyo</t>
  </si>
  <si>
    <t>Wonomulyo</t>
  </si>
  <si>
    <t>Mapilli</t>
  </si>
  <si>
    <t>Tapango</t>
  </si>
  <si>
    <t>Matakali</t>
  </si>
  <si>
    <t>B U L O</t>
  </si>
  <si>
    <t>Polewali</t>
  </si>
  <si>
    <t>Binuang</t>
  </si>
  <si>
    <t>Anreapi</t>
  </si>
  <si>
    <t>Matangnga</t>
  </si>
  <si>
    <t>Mamasa</t>
  </si>
  <si>
    <t>Sumarorong</t>
  </si>
  <si>
    <t>Messawa</t>
  </si>
  <si>
    <t>Pana</t>
  </si>
  <si>
    <t>Nosu</t>
  </si>
  <si>
    <t>Tabang</t>
  </si>
  <si>
    <t>Tanduk Kalua</t>
  </si>
  <si>
    <t>Balla</t>
  </si>
  <si>
    <t>Sesenapadang</t>
  </si>
  <si>
    <t>Tawalian</t>
  </si>
  <si>
    <t>Mambi</t>
  </si>
  <si>
    <t>Bambang</t>
  </si>
  <si>
    <t>Rantebulahan Timur</t>
  </si>
  <si>
    <t>Mehalaan</t>
  </si>
  <si>
    <t>Aralle</t>
  </si>
  <si>
    <t>Buntu Malangka</t>
  </si>
  <si>
    <t>Tabulahan</t>
  </si>
  <si>
    <t>Mamuju</t>
  </si>
  <si>
    <t>Tapalang</t>
  </si>
  <si>
    <t>Tapalang Barat</t>
  </si>
  <si>
    <t>Simboro</t>
  </si>
  <si>
    <t>Kepulauan Bala Balakang</t>
  </si>
  <si>
    <t>Kalukku</t>
  </si>
  <si>
    <t>Papalang</t>
  </si>
  <si>
    <t>Sampaga</t>
  </si>
  <si>
    <t>Tommo</t>
  </si>
  <si>
    <t>Kalumpang</t>
  </si>
  <si>
    <t>Bonehau</t>
  </si>
  <si>
    <t>Pasangkayu</t>
  </si>
  <si>
    <t>Sarudu</t>
  </si>
  <si>
    <t>Dapurang</t>
  </si>
  <si>
    <t>Duripoku</t>
  </si>
  <si>
    <t>Baras</t>
  </si>
  <si>
    <t>Bulu Taba</t>
  </si>
  <si>
    <t>Lariang</t>
  </si>
  <si>
    <t>Tikke Raya</t>
  </si>
  <si>
    <t>Pedongga</t>
  </si>
  <si>
    <t>Bambalamotu</t>
  </si>
  <si>
    <t>Bambaira</t>
  </si>
  <si>
    <t>Sarjo</t>
  </si>
  <si>
    <t>Mamuju Tengah</t>
  </si>
  <si>
    <t>Pangale</t>
  </si>
  <si>
    <t>Budong-Budong</t>
  </si>
  <si>
    <t>Tobadak</t>
  </si>
  <si>
    <t>Topoyo</t>
  </si>
  <si>
    <t>Karossa</t>
  </si>
  <si>
    <t>JUMLAH TOTAL SULBAR</t>
  </si>
  <si>
    <t>Ket</t>
  </si>
  <si>
    <t>Jumlah Penduduk SE2026 &gt;= Dari Jumlah Penduduk Dukcapil</t>
  </si>
  <si>
    <t>Jumlah Penduduk SE2026 &lt; Dari Jumlah Penduduk Dukcapil</t>
  </si>
  <si>
    <t>PERBANDINGAN JUMLAH PENDUDUK DUKCAPIL DENGAN SE2026 POSISI 
09 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</si>
</sst>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rgb="FFFFFFFF"/>
      <name val="Arial"/>
      <scheme val="minor"/>
    </font>
    <font>
      <sz val="10"/>
      <name val="Arial"/>
    </font>
    <font>
      <b/>
      <sz val="11"/>
      <color theme="1"/>
      <name val="Arial"/>
      <scheme val="minor"/>
    </font>
    <font>
      <b/>
      <sz val="12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27BA0"/>
        <bgColor rgb="FFC27BA0"/>
      </patternFill>
    </fill>
    <fill>
      <patternFill patternType="solid">
        <fgColor rgb="FFEAD1DC"/>
        <bgColor rgb="FFEAD1DC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3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/>
    <xf numFmtId="4" fontId="1" fillId="0" borderId="1" xfId="0" applyNumberFormat="1" applyFont="1" applyBorder="1"/>
    <xf numFmtId="3" fontId="6" fillId="3" borderId="1" xfId="0" applyNumberFormat="1" applyFont="1" applyFill="1" applyBorder="1"/>
    <xf numFmtId="3" fontId="3" fillId="3" borderId="1" xfId="0" applyNumberFormat="1" applyFont="1" applyFill="1" applyBorder="1"/>
    <xf numFmtId="4" fontId="3" fillId="3" borderId="1" xfId="0" applyNumberFormat="1" applyFont="1" applyFill="1" applyBorder="1"/>
    <xf numFmtId="3" fontId="6" fillId="3" borderId="1" xfId="0" applyNumberFormat="1" applyFont="1" applyFill="1" applyBorder="1" applyAlignment="1">
      <alignment horizontal="right"/>
    </xf>
    <xf numFmtId="3" fontId="3" fillId="0" borderId="1" xfId="0" applyNumberFormat="1" applyFont="1" applyBorder="1"/>
    <xf numFmtId="4" fontId="3" fillId="0" borderId="1" xfId="0" applyNumberFormat="1" applyFont="1" applyBorder="1"/>
    <xf numFmtId="0" fontId="1" fillId="0" borderId="0" xfId="0" applyFont="1"/>
    <xf numFmtId="0" fontId="1" fillId="4" borderId="0" xfId="0" applyFont="1" applyFill="1"/>
    <xf numFmtId="0" fontId="1" fillId="5" borderId="0" xfId="0" applyFont="1" applyFill="1"/>
    <xf numFmtId="0" fontId="7" fillId="3" borderId="2" xfId="0" applyFont="1" applyFill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7" fillId="0" borderId="2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3" fillId="3" borderId="2" xfId="0" applyFont="1" applyFill="1" applyBorder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B6D7A8"/>
          <bgColor rgb="FFB6D7A8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6"/>
  <sheetViews>
    <sheetView tabSelected="1" workbookViewId="0">
      <selection activeCell="P3" sqref="P3"/>
    </sheetView>
  </sheetViews>
  <sheetFormatPr defaultColWidth="12.6640625" defaultRowHeight="15.75" customHeight="1" x14ac:dyDescent="0.25"/>
  <cols>
    <col min="6" max="11" width="12.6640625" hidden="1"/>
  </cols>
  <sheetData>
    <row r="1" spans="1:16" ht="13.2" x14ac:dyDescent="0.25">
      <c r="A1" s="23" t="s">
        <v>92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"/>
    </row>
    <row r="2" spans="1:16" ht="13.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6" ht="66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5</v>
      </c>
      <c r="L3" s="3" t="s">
        <v>10</v>
      </c>
      <c r="M3" s="4" t="s">
        <v>11</v>
      </c>
      <c r="N3" s="3" t="s">
        <v>12</v>
      </c>
      <c r="O3" s="3" t="s">
        <v>13</v>
      </c>
      <c r="P3" s="3" t="s">
        <v>14</v>
      </c>
    </row>
    <row r="4" spans="1:16" ht="13.2" x14ac:dyDescent="0.25">
      <c r="A4" s="5">
        <v>1</v>
      </c>
      <c r="B4" s="6" t="s">
        <v>15</v>
      </c>
      <c r="C4" s="6" t="s">
        <v>16</v>
      </c>
      <c r="D4" s="7">
        <v>46974</v>
      </c>
      <c r="E4" s="7">
        <v>41086</v>
      </c>
      <c r="F4" s="8">
        <v>40644</v>
      </c>
      <c r="G4" s="8">
        <v>442</v>
      </c>
      <c r="H4" s="8">
        <v>367</v>
      </c>
      <c r="I4" s="8">
        <v>974</v>
      </c>
      <c r="J4" s="8">
        <v>50</v>
      </c>
      <c r="K4" s="8">
        <v>11</v>
      </c>
      <c r="L4" s="8">
        <f t="shared" ref="L4:L11" si="0">SUM(F4:K4)</f>
        <v>42488</v>
      </c>
      <c r="M4" s="8">
        <f t="shared" ref="M4:M79" si="1">D4-E4</f>
        <v>5888</v>
      </c>
      <c r="N4" s="9">
        <f t="shared" ref="N4:N79" si="2">M4/D4*100</f>
        <v>12.534593604972963</v>
      </c>
      <c r="O4" s="8">
        <f t="shared" ref="O4:O79" si="3">D4-L4</f>
        <v>4486</v>
      </c>
      <c r="P4" s="9">
        <f t="shared" ref="P4:P79" si="4">O4/D4*100</f>
        <v>9.5499638097671049</v>
      </c>
    </row>
    <row r="5" spans="1:16" ht="13.2" x14ac:dyDescent="0.25">
      <c r="A5" s="5">
        <v>2</v>
      </c>
      <c r="B5" s="6" t="s">
        <v>15</v>
      </c>
      <c r="C5" s="6" t="s">
        <v>17</v>
      </c>
      <c r="D5" s="7">
        <v>35589</v>
      </c>
      <c r="E5" s="7">
        <v>28197</v>
      </c>
      <c r="F5" s="8">
        <v>27972</v>
      </c>
      <c r="G5" s="8">
        <v>225</v>
      </c>
      <c r="H5" s="8">
        <v>237</v>
      </c>
      <c r="I5" s="8">
        <v>1082</v>
      </c>
      <c r="J5" s="8">
        <v>43</v>
      </c>
      <c r="K5" s="8">
        <v>17</v>
      </c>
      <c r="L5" s="8">
        <f t="shared" si="0"/>
        <v>29576</v>
      </c>
      <c r="M5" s="8">
        <f t="shared" si="1"/>
        <v>7392</v>
      </c>
      <c r="N5" s="9">
        <f t="shared" si="2"/>
        <v>20.770462783444323</v>
      </c>
      <c r="O5" s="8">
        <f t="shared" si="3"/>
        <v>6013</v>
      </c>
      <c r="P5" s="9">
        <f t="shared" si="4"/>
        <v>16.895670010396472</v>
      </c>
    </row>
    <row r="6" spans="1:16" ht="13.2" x14ac:dyDescent="0.25">
      <c r="A6" s="5">
        <v>3</v>
      </c>
      <c r="B6" s="6" t="s">
        <v>15</v>
      </c>
      <c r="C6" s="6" t="s">
        <v>18</v>
      </c>
      <c r="D6" s="7">
        <v>26109</v>
      </c>
      <c r="E6" s="7">
        <v>23345</v>
      </c>
      <c r="F6" s="8">
        <v>23075</v>
      </c>
      <c r="G6" s="8">
        <v>270</v>
      </c>
      <c r="H6" s="8">
        <v>160</v>
      </c>
      <c r="I6" s="8">
        <v>1115</v>
      </c>
      <c r="J6" s="8">
        <v>86</v>
      </c>
      <c r="K6" s="8">
        <v>17</v>
      </c>
      <c r="L6" s="8">
        <f t="shared" si="0"/>
        <v>24723</v>
      </c>
      <c r="M6" s="8">
        <f t="shared" si="1"/>
        <v>2764</v>
      </c>
      <c r="N6" s="9">
        <f t="shared" si="2"/>
        <v>10.586387835612241</v>
      </c>
      <c r="O6" s="8">
        <f t="shared" si="3"/>
        <v>1386</v>
      </c>
      <c r="P6" s="9">
        <f t="shared" si="4"/>
        <v>5.3085143054119266</v>
      </c>
    </row>
    <row r="7" spans="1:16" ht="13.2" x14ac:dyDescent="0.25">
      <c r="A7" s="5">
        <v>4</v>
      </c>
      <c r="B7" s="6" t="s">
        <v>15</v>
      </c>
      <c r="C7" s="6" t="s">
        <v>19</v>
      </c>
      <c r="D7" s="7">
        <v>26552</v>
      </c>
      <c r="E7" s="7">
        <v>22253</v>
      </c>
      <c r="F7" s="8">
        <v>22020</v>
      </c>
      <c r="G7" s="8">
        <v>233</v>
      </c>
      <c r="H7" s="8">
        <v>207</v>
      </c>
      <c r="I7" s="8">
        <v>1540</v>
      </c>
      <c r="J7" s="8">
        <v>265</v>
      </c>
      <c r="K7" s="8">
        <v>6</v>
      </c>
      <c r="L7" s="8">
        <f t="shared" si="0"/>
        <v>24271</v>
      </c>
      <c r="M7" s="8">
        <f t="shared" si="1"/>
        <v>4299</v>
      </c>
      <c r="N7" s="9">
        <f t="shared" si="2"/>
        <v>16.190870744200062</v>
      </c>
      <c r="O7" s="8">
        <f t="shared" si="3"/>
        <v>2281</v>
      </c>
      <c r="P7" s="9">
        <f t="shared" si="4"/>
        <v>8.5906899668574876</v>
      </c>
    </row>
    <row r="8" spans="1:16" ht="13.2" x14ac:dyDescent="0.25">
      <c r="A8" s="5">
        <v>5</v>
      </c>
      <c r="B8" s="6" t="s">
        <v>15</v>
      </c>
      <c r="C8" s="6" t="s">
        <v>20</v>
      </c>
      <c r="D8" s="7">
        <v>13481</v>
      </c>
      <c r="E8" s="7">
        <v>11644</v>
      </c>
      <c r="F8" s="8">
        <v>11476</v>
      </c>
      <c r="G8" s="8">
        <v>168</v>
      </c>
      <c r="H8" s="8">
        <v>107</v>
      </c>
      <c r="I8" s="8">
        <v>619</v>
      </c>
      <c r="J8" s="8">
        <v>144</v>
      </c>
      <c r="K8" s="8">
        <v>27</v>
      </c>
      <c r="L8" s="8">
        <f t="shared" si="0"/>
        <v>12541</v>
      </c>
      <c r="M8" s="8">
        <f t="shared" si="1"/>
        <v>1837</v>
      </c>
      <c r="N8" s="9">
        <f t="shared" si="2"/>
        <v>13.626585564869076</v>
      </c>
      <c r="O8" s="8">
        <f t="shared" si="3"/>
        <v>940</v>
      </c>
      <c r="P8" s="9">
        <f t="shared" si="4"/>
        <v>6.9727765002596236</v>
      </c>
    </row>
    <row r="9" spans="1:16" ht="13.2" x14ac:dyDescent="0.25">
      <c r="A9" s="5">
        <v>6</v>
      </c>
      <c r="B9" s="6" t="s">
        <v>15</v>
      </c>
      <c r="C9" s="6" t="s">
        <v>21</v>
      </c>
      <c r="D9" s="7">
        <v>10529</v>
      </c>
      <c r="E9" s="7">
        <v>9048</v>
      </c>
      <c r="F9" s="8">
        <v>8911</v>
      </c>
      <c r="G9" s="8">
        <v>137</v>
      </c>
      <c r="H9" s="8">
        <v>88</v>
      </c>
      <c r="I9" s="8">
        <v>736</v>
      </c>
      <c r="J9" s="8">
        <v>7</v>
      </c>
      <c r="K9" s="8">
        <v>4</v>
      </c>
      <c r="L9" s="8">
        <f t="shared" si="0"/>
        <v>9883</v>
      </c>
      <c r="M9" s="8">
        <f t="shared" si="1"/>
        <v>1481</v>
      </c>
      <c r="N9" s="9">
        <f t="shared" si="2"/>
        <v>14.065913192136007</v>
      </c>
      <c r="O9" s="8">
        <f t="shared" si="3"/>
        <v>646</v>
      </c>
      <c r="P9" s="9">
        <f t="shared" si="4"/>
        <v>6.135435463956691</v>
      </c>
    </row>
    <row r="10" spans="1:16" ht="13.2" x14ac:dyDescent="0.25">
      <c r="A10" s="5">
        <v>7</v>
      </c>
      <c r="B10" s="6" t="s">
        <v>15</v>
      </c>
      <c r="C10" s="6" t="s">
        <v>22</v>
      </c>
      <c r="D10" s="7">
        <v>21418</v>
      </c>
      <c r="E10" s="7">
        <v>18143</v>
      </c>
      <c r="F10" s="8">
        <v>17795</v>
      </c>
      <c r="G10" s="8">
        <v>348</v>
      </c>
      <c r="H10" s="8">
        <v>180</v>
      </c>
      <c r="I10" s="8">
        <v>1244</v>
      </c>
      <c r="J10" s="8">
        <v>27</v>
      </c>
      <c r="K10" s="8">
        <v>9</v>
      </c>
      <c r="L10" s="8">
        <f t="shared" si="0"/>
        <v>19603</v>
      </c>
      <c r="M10" s="8">
        <f t="shared" si="1"/>
        <v>3275</v>
      </c>
      <c r="N10" s="9">
        <f t="shared" si="2"/>
        <v>15.290876832570735</v>
      </c>
      <c r="O10" s="8">
        <f t="shared" si="3"/>
        <v>1815</v>
      </c>
      <c r="P10" s="9">
        <f t="shared" si="4"/>
        <v>8.4741805957605756</v>
      </c>
    </row>
    <row r="11" spans="1:16" ht="13.2" x14ac:dyDescent="0.25">
      <c r="A11" s="5">
        <v>8</v>
      </c>
      <c r="B11" s="6" t="s">
        <v>15</v>
      </c>
      <c r="C11" s="6" t="s">
        <v>23</v>
      </c>
      <c r="D11" s="7">
        <v>10974</v>
      </c>
      <c r="E11" s="7">
        <v>9418</v>
      </c>
      <c r="F11" s="8">
        <v>9280</v>
      </c>
      <c r="G11" s="8">
        <v>138</v>
      </c>
      <c r="H11" s="8">
        <v>108</v>
      </c>
      <c r="I11" s="8">
        <v>174</v>
      </c>
      <c r="J11" s="8">
        <v>5</v>
      </c>
      <c r="K11" s="8">
        <v>0</v>
      </c>
      <c r="L11" s="8">
        <f t="shared" si="0"/>
        <v>9705</v>
      </c>
      <c r="M11" s="8">
        <f t="shared" si="1"/>
        <v>1556</v>
      </c>
      <c r="N11" s="9">
        <f t="shared" si="2"/>
        <v>14.178968470931292</v>
      </c>
      <c r="O11" s="8">
        <f t="shared" si="3"/>
        <v>1269</v>
      </c>
      <c r="P11" s="9">
        <f t="shared" si="4"/>
        <v>11.56369600874795</v>
      </c>
    </row>
    <row r="12" spans="1:16" ht="13.8" x14ac:dyDescent="0.25">
      <c r="A12" s="25" t="s">
        <v>24</v>
      </c>
      <c r="B12" s="20"/>
      <c r="C12" s="21"/>
      <c r="D12" s="10">
        <f>SUM(D4:D11)</f>
        <v>191626</v>
      </c>
      <c r="E12" s="10">
        <f t="shared" ref="E12:L12" si="5">SUM(E4:E11)</f>
        <v>163134</v>
      </c>
      <c r="F12" s="10">
        <f t="shared" si="5"/>
        <v>161173</v>
      </c>
      <c r="G12" s="10">
        <f t="shared" si="5"/>
        <v>1961</v>
      </c>
      <c r="H12" s="10">
        <f t="shared" si="5"/>
        <v>1454</v>
      </c>
      <c r="I12" s="10">
        <f t="shared" si="5"/>
        <v>7484</v>
      </c>
      <c r="J12" s="10">
        <f t="shared" si="5"/>
        <v>627</v>
      </c>
      <c r="K12" s="10">
        <f t="shared" si="5"/>
        <v>91</v>
      </c>
      <c r="L12" s="10">
        <f t="shared" si="5"/>
        <v>172790</v>
      </c>
      <c r="M12" s="11">
        <f t="shared" si="1"/>
        <v>28492</v>
      </c>
      <c r="N12" s="12">
        <f t="shared" si="2"/>
        <v>14.868546021938567</v>
      </c>
      <c r="O12" s="11">
        <f t="shared" si="3"/>
        <v>18836</v>
      </c>
      <c r="P12" s="12">
        <f t="shared" si="4"/>
        <v>9.8295638378925609</v>
      </c>
    </row>
    <row r="13" spans="1:16" ht="13.2" x14ac:dyDescent="0.25">
      <c r="A13" s="5">
        <v>9</v>
      </c>
      <c r="B13" s="6" t="s">
        <v>25</v>
      </c>
      <c r="C13" s="6" t="s">
        <v>26</v>
      </c>
      <c r="D13" s="7">
        <v>25332</v>
      </c>
      <c r="E13" s="7">
        <v>22340</v>
      </c>
      <c r="F13" s="8">
        <v>22036</v>
      </c>
      <c r="G13" s="8">
        <v>304</v>
      </c>
      <c r="H13" s="8">
        <v>219</v>
      </c>
      <c r="I13" s="8">
        <v>880</v>
      </c>
      <c r="J13" s="8">
        <v>126</v>
      </c>
      <c r="K13" s="8">
        <v>15</v>
      </c>
      <c r="L13" s="8">
        <f t="shared" ref="L13:L28" si="6">SUM(F13:K13)</f>
        <v>23580</v>
      </c>
      <c r="M13" s="8">
        <f t="shared" si="1"/>
        <v>2992</v>
      </c>
      <c r="N13" s="9">
        <f t="shared" si="2"/>
        <v>11.811147955155535</v>
      </c>
      <c r="O13" s="8">
        <f t="shared" si="3"/>
        <v>1752</v>
      </c>
      <c r="P13" s="9">
        <f t="shared" si="4"/>
        <v>6.9161534817621977</v>
      </c>
    </row>
    <row r="14" spans="1:16" ht="13.2" x14ac:dyDescent="0.25">
      <c r="A14" s="5">
        <v>10</v>
      </c>
      <c r="B14" s="6" t="s">
        <v>25</v>
      </c>
      <c r="C14" s="6" t="s">
        <v>27</v>
      </c>
      <c r="D14" s="7">
        <v>30148</v>
      </c>
      <c r="E14" s="7">
        <v>26850</v>
      </c>
      <c r="F14" s="8">
        <v>26291</v>
      </c>
      <c r="G14" s="8">
        <v>559</v>
      </c>
      <c r="H14" s="8">
        <v>319</v>
      </c>
      <c r="I14" s="8">
        <v>829</v>
      </c>
      <c r="J14" s="8">
        <v>237</v>
      </c>
      <c r="K14" s="8">
        <v>12</v>
      </c>
      <c r="L14" s="8">
        <f t="shared" si="6"/>
        <v>28247</v>
      </c>
      <c r="M14" s="8">
        <f t="shared" si="1"/>
        <v>3298</v>
      </c>
      <c r="N14" s="9">
        <f t="shared" si="2"/>
        <v>10.939365795409314</v>
      </c>
      <c r="O14" s="8">
        <f t="shared" si="3"/>
        <v>1901</v>
      </c>
      <c r="P14" s="9">
        <f t="shared" si="4"/>
        <v>6.3055592410773524</v>
      </c>
    </row>
    <row r="15" spans="1:16" ht="13.2" x14ac:dyDescent="0.25">
      <c r="A15" s="5">
        <v>11</v>
      </c>
      <c r="B15" s="6" t="s">
        <v>25</v>
      </c>
      <c r="C15" s="6" t="s">
        <v>28</v>
      </c>
      <c r="D15" s="7">
        <v>19412</v>
      </c>
      <c r="E15" s="7">
        <v>17151</v>
      </c>
      <c r="F15" s="8">
        <v>16836</v>
      </c>
      <c r="G15" s="8">
        <v>315</v>
      </c>
      <c r="H15" s="8">
        <v>170</v>
      </c>
      <c r="I15" s="8">
        <v>756</v>
      </c>
      <c r="J15" s="8">
        <v>86</v>
      </c>
      <c r="K15" s="8">
        <v>12</v>
      </c>
      <c r="L15" s="8">
        <f t="shared" si="6"/>
        <v>18175</v>
      </c>
      <c r="M15" s="8">
        <f t="shared" si="1"/>
        <v>2261</v>
      </c>
      <c r="N15" s="9">
        <f t="shared" si="2"/>
        <v>11.647434576550587</v>
      </c>
      <c r="O15" s="8">
        <f t="shared" si="3"/>
        <v>1237</v>
      </c>
      <c r="P15" s="9">
        <f t="shared" si="4"/>
        <v>6.3723470018545223</v>
      </c>
    </row>
    <row r="16" spans="1:16" ht="13.2" x14ac:dyDescent="0.25">
      <c r="A16" s="5">
        <v>12</v>
      </c>
      <c r="B16" s="6" t="s">
        <v>25</v>
      </c>
      <c r="C16" s="6" t="s">
        <v>29</v>
      </c>
      <c r="D16" s="7">
        <v>23994</v>
      </c>
      <c r="E16" s="7">
        <v>20276</v>
      </c>
      <c r="F16" s="8">
        <v>19717</v>
      </c>
      <c r="G16" s="8">
        <v>559</v>
      </c>
      <c r="H16" s="8">
        <v>183</v>
      </c>
      <c r="I16" s="8">
        <v>920</v>
      </c>
      <c r="J16" s="8">
        <v>95</v>
      </c>
      <c r="K16" s="8">
        <v>18</v>
      </c>
      <c r="L16" s="8">
        <f t="shared" si="6"/>
        <v>21492</v>
      </c>
      <c r="M16" s="8">
        <f t="shared" si="1"/>
        <v>3718</v>
      </c>
      <c r="N16" s="9">
        <f t="shared" si="2"/>
        <v>15.495540551804618</v>
      </c>
      <c r="O16" s="8">
        <f t="shared" si="3"/>
        <v>2502</v>
      </c>
      <c r="P16" s="9">
        <f t="shared" si="4"/>
        <v>10.427606901725431</v>
      </c>
    </row>
    <row r="17" spans="1:16" ht="13.2" x14ac:dyDescent="0.25">
      <c r="A17" s="5">
        <v>13</v>
      </c>
      <c r="B17" s="6" t="s">
        <v>25</v>
      </c>
      <c r="C17" s="6" t="s">
        <v>30</v>
      </c>
      <c r="D17" s="7">
        <v>15195</v>
      </c>
      <c r="E17" s="7">
        <v>12562</v>
      </c>
      <c r="F17" s="8">
        <v>12410</v>
      </c>
      <c r="G17" s="8">
        <v>152</v>
      </c>
      <c r="H17" s="8">
        <v>130</v>
      </c>
      <c r="I17" s="8">
        <v>702</v>
      </c>
      <c r="J17" s="8">
        <v>90</v>
      </c>
      <c r="K17" s="8">
        <v>4</v>
      </c>
      <c r="L17" s="8">
        <f t="shared" si="6"/>
        <v>13488</v>
      </c>
      <c r="M17" s="8">
        <f t="shared" si="1"/>
        <v>2633</v>
      </c>
      <c r="N17" s="9">
        <f t="shared" si="2"/>
        <v>17.328068443566963</v>
      </c>
      <c r="O17" s="8">
        <f t="shared" si="3"/>
        <v>1707</v>
      </c>
      <c r="P17" s="9">
        <f t="shared" si="4"/>
        <v>11.23395853899309</v>
      </c>
    </row>
    <row r="18" spans="1:16" ht="13.2" x14ac:dyDescent="0.25">
      <c r="A18" s="5">
        <v>14</v>
      </c>
      <c r="B18" s="6" t="s">
        <v>25</v>
      </c>
      <c r="C18" s="6" t="s">
        <v>31</v>
      </c>
      <c r="D18" s="7">
        <v>65885</v>
      </c>
      <c r="E18" s="7">
        <v>52852</v>
      </c>
      <c r="F18" s="8">
        <v>51949</v>
      </c>
      <c r="G18" s="8">
        <v>903</v>
      </c>
      <c r="H18" s="8">
        <v>614</v>
      </c>
      <c r="I18" s="8">
        <v>2240</v>
      </c>
      <c r="J18" s="8">
        <v>926</v>
      </c>
      <c r="K18" s="8">
        <v>61</v>
      </c>
      <c r="L18" s="8">
        <f t="shared" si="6"/>
        <v>56693</v>
      </c>
      <c r="M18" s="8">
        <f t="shared" si="1"/>
        <v>13033</v>
      </c>
      <c r="N18" s="9">
        <f t="shared" si="2"/>
        <v>19.781437352963497</v>
      </c>
      <c r="O18" s="8">
        <f t="shared" si="3"/>
        <v>9192</v>
      </c>
      <c r="P18" s="9">
        <f t="shared" si="4"/>
        <v>13.951582302496773</v>
      </c>
    </row>
    <row r="19" spans="1:16" ht="13.2" x14ac:dyDescent="0.25">
      <c r="A19" s="5">
        <v>15</v>
      </c>
      <c r="B19" s="6" t="s">
        <v>25</v>
      </c>
      <c r="C19" s="6" t="s">
        <v>32</v>
      </c>
      <c r="D19" s="7">
        <v>34327</v>
      </c>
      <c r="E19" s="7">
        <v>29008</v>
      </c>
      <c r="F19" s="8">
        <v>28251</v>
      </c>
      <c r="G19" s="8">
        <v>757</v>
      </c>
      <c r="H19" s="8">
        <v>302</v>
      </c>
      <c r="I19" s="8">
        <v>1408</v>
      </c>
      <c r="J19" s="8">
        <v>443</v>
      </c>
      <c r="K19" s="8">
        <v>20</v>
      </c>
      <c r="L19" s="8">
        <f t="shared" si="6"/>
        <v>31181</v>
      </c>
      <c r="M19" s="8">
        <f t="shared" si="1"/>
        <v>5319</v>
      </c>
      <c r="N19" s="9">
        <f t="shared" si="2"/>
        <v>15.495091327526437</v>
      </c>
      <c r="O19" s="8">
        <f t="shared" si="3"/>
        <v>3146</v>
      </c>
      <c r="P19" s="9">
        <f t="shared" si="4"/>
        <v>9.1647973898097703</v>
      </c>
    </row>
    <row r="20" spans="1:16" ht="13.2" x14ac:dyDescent="0.25">
      <c r="A20" s="5">
        <v>16</v>
      </c>
      <c r="B20" s="6" t="s">
        <v>25</v>
      </c>
      <c r="C20" s="6" t="s">
        <v>33</v>
      </c>
      <c r="D20" s="7">
        <v>53194</v>
      </c>
      <c r="E20" s="7">
        <v>42736</v>
      </c>
      <c r="F20" s="8">
        <v>42222</v>
      </c>
      <c r="G20" s="8">
        <v>514</v>
      </c>
      <c r="H20" s="8">
        <v>419</v>
      </c>
      <c r="I20" s="8">
        <v>1865</v>
      </c>
      <c r="J20" s="8">
        <v>208</v>
      </c>
      <c r="K20" s="8">
        <v>53</v>
      </c>
      <c r="L20" s="8">
        <f t="shared" si="6"/>
        <v>45281</v>
      </c>
      <c r="M20" s="8">
        <f t="shared" si="1"/>
        <v>10458</v>
      </c>
      <c r="N20" s="9">
        <f t="shared" si="2"/>
        <v>19.660112042711582</v>
      </c>
      <c r="O20" s="8">
        <f t="shared" si="3"/>
        <v>7913</v>
      </c>
      <c r="P20" s="9">
        <f t="shared" si="4"/>
        <v>14.875737865172765</v>
      </c>
    </row>
    <row r="21" spans="1:16" ht="13.2" x14ac:dyDescent="0.25">
      <c r="A21" s="5">
        <v>17</v>
      </c>
      <c r="B21" s="6" t="s">
        <v>25</v>
      </c>
      <c r="C21" s="6" t="s">
        <v>34</v>
      </c>
      <c r="D21" s="7">
        <v>34917</v>
      </c>
      <c r="E21" s="7">
        <v>28866</v>
      </c>
      <c r="F21" s="8">
        <v>28286</v>
      </c>
      <c r="G21" s="8">
        <v>580</v>
      </c>
      <c r="H21" s="8">
        <v>298</v>
      </c>
      <c r="I21" s="8">
        <v>1323</v>
      </c>
      <c r="J21" s="8">
        <v>349</v>
      </c>
      <c r="K21" s="8">
        <v>28</v>
      </c>
      <c r="L21" s="8">
        <f t="shared" si="6"/>
        <v>30864</v>
      </c>
      <c r="M21" s="8">
        <f t="shared" si="1"/>
        <v>6051</v>
      </c>
      <c r="N21" s="9">
        <f t="shared" si="2"/>
        <v>17.329667497207662</v>
      </c>
      <c r="O21" s="8">
        <f t="shared" si="3"/>
        <v>4053</v>
      </c>
      <c r="P21" s="9">
        <f t="shared" si="4"/>
        <v>11.607526419795516</v>
      </c>
    </row>
    <row r="22" spans="1:16" ht="13.2" x14ac:dyDescent="0.25">
      <c r="A22" s="5">
        <v>18</v>
      </c>
      <c r="B22" s="6" t="s">
        <v>25</v>
      </c>
      <c r="C22" s="6" t="s">
        <v>35</v>
      </c>
      <c r="D22" s="7">
        <v>27110</v>
      </c>
      <c r="E22" s="7">
        <v>21870</v>
      </c>
      <c r="F22" s="8">
        <v>21474</v>
      </c>
      <c r="G22" s="8">
        <v>396</v>
      </c>
      <c r="H22" s="8">
        <v>194</v>
      </c>
      <c r="I22" s="8">
        <v>986</v>
      </c>
      <c r="J22" s="8">
        <v>216</v>
      </c>
      <c r="K22" s="8">
        <v>53</v>
      </c>
      <c r="L22" s="8">
        <f t="shared" si="6"/>
        <v>23319</v>
      </c>
      <c r="M22" s="8">
        <f t="shared" si="1"/>
        <v>5240</v>
      </c>
      <c r="N22" s="9">
        <f t="shared" si="2"/>
        <v>19.328661010697161</v>
      </c>
      <c r="O22" s="8">
        <f t="shared" si="3"/>
        <v>3791</v>
      </c>
      <c r="P22" s="9">
        <f t="shared" si="4"/>
        <v>13.983769826632239</v>
      </c>
    </row>
    <row r="23" spans="1:16" ht="13.2" x14ac:dyDescent="0.25">
      <c r="A23" s="5">
        <v>19</v>
      </c>
      <c r="B23" s="6" t="s">
        <v>25</v>
      </c>
      <c r="C23" s="6" t="s">
        <v>36</v>
      </c>
      <c r="D23" s="7">
        <v>29240</v>
      </c>
      <c r="E23" s="7">
        <v>24164</v>
      </c>
      <c r="F23" s="8">
        <v>23822</v>
      </c>
      <c r="G23" s="8">
        <v>342</v>
      </c>
      <c r="H23" s="8">
        <v>192</v>
      </c>
      <c r="I23" s="8">
        <v>1228</v>
      </c>
      <c r="J23" s="8">
        <v>232</v>
      </c>
      <c r="K23" s="8">
        <v>17</v>
      </c>
      <c r="L23" s="8">
        <f t="shared" si="6"/>
        <v>25833</v>
      </c>
      <c r="M23" s="8">
        <f t="shared" si="1"/>
        <v>5076</v>
      </c>
      <c r="N23" s="9">
        <f t="shared" si="2"/>
        <v>17.359781121751023</v>
      </c>
      <c r="O23" s="8">
        <f t="shared" si="3"/>
        <v>3407</v>
      </c>
      <c r="P23" s="9">
        <f t="shared" si="4"/>
        <v>11.651846785225718</v>
      </c>
    </row>
    <row r="24" spans="1:16" ht="13.2" x14ac:dyDescent="0.25">
      <c r="A24" s="5">
        <v>20</v>
      </c>
      <c r="B24" s="6" t="s">
        <v>25</v>
      </c>
      <c r="C24" s="6" t="s">
        <v>37</v>
      </c>
      <c r="D24" s="7">
        <v>11200</v>
      </c>
      <c r="E24" s="7">
        <v>9080</v>
      </c>
      <c r="F24" s="8">
        <v>8821</v>
      </c>
      <c r="G24" s="8">
        <v>259</v>
      </c>
      <c r="H24" s="8">
        <v>84</v>
      </c>
      <c r="I24" s="8">
        <v>248</v>
      </c>
      <c r="J24" s="8">
        <v>33</v>
      </c>
      <c r="K24" s="8">
        <v>24</v>
      </c>
      <c r="L24" s="8">
        <f t="shared" si="6"/>
        <v>9469</v>
      </c>
      <c r="M24" s="8">
        <f t="shared" si="1"/>
        <v>2120</v>
      </c>
      <c r="N24" s="9">
        <f t="shared" si="2"/>
        <v>18.928571428571427</v>
      </c>
      <c r="O24" s="8">
        <f t="shared" si="3"/>
        <v>1731</v>
      </c>
      <c r="P24" s="9">
        <f t="shared" si="4"/>
        <v>15.455357142857142</v>
      </c>
    </row>
    <row r="25" spans="1:16" ht="13.2" x14ac:dyDescent="0.25">
      <c r="A25" s="5">
        <v>21</v>
      </c>
      <c r="B25" s="6" t="s">
        <v>25</v>
      </c>
      <c r="C25" s="6" t="s">
        <v>38</v>
      </c>
      <c r="D25" s="7">
        <v>68095</v>
      </c>
      <c r="E25" s="7">
        <v>47341</v>
      </c>
      <c r="F25" s="8">
        <v>46885</v>
      </c>
      <c r="G25" s="8">
        <v>456</v>
      </c>
      <c r="H25" s="8">
        <v>394</v>
      </c>
      <c r="I25" s="8">
        <v>2956</v>
      </c>
      <c r="J25" s="8">
        <v>307</v>
      </c>
      <c r="K25" s="8">
        <v>18</v>
      </c>
      <c r="L25" s="8">
        <f t="shared" si="6"/>
        <v>51016</v>
      </c>
      <c r="M25" s="8">
        <f t="shared" si="1"/>
        <v>20754</v>
      </c>
      <c r="N25" s="9">
        <f t="shared" si="2"/>
        <v>30.478008664365959</v>
      </c>
      <c r="O25" s="8">
        <f t="shared" si="3"/>
        <v>17079</v>
      </c>
      <c r="P25" s="9">
        <f t="shared" si="4"/>
        <v>25.081136647330936</v>
      </c>
    </row>
    <row r="26" spans="1:16" ht="13.2" x14ac:dyDescent="0.25">
      <c r="A26" s="5">
        <v>22</v>
      </c>
      <c r="B26" s="6" t="s">
        <v>25</v>
      </c>
      <c r="C26" s="6" t="s">
        <v>39</v>
      </c>
      <c r="D26" s="7">
        <v>40870</v>
      </c>
      <c r="E26" s="7">
        <v>30692</v>
      </c>
      <c r="F26" s="8">
        <v>30284</v>
      </c>
      <c r="G26" s="8">
        <v>408</v>
      </c>
      <c r="H26" s="8">
        <v>379</v>
      </c>
      <c r="I26" s="8">
        <v>2468</v>
      </c>
      <c r="J26" s="8">
        <v>559</v>
      </c>
      <c r="K26" s="8">
        <v>22</v>
      </c>
      <c r="L26" s="8">
        <f t="shared" si="6"/>
        <v>34120</v>
      </c>
      <c r="M26" s="8">
        <f t="shared" si="1"/>
        <v>10178</v>
      </c>
      <c r="N26" s="9">
        <f t="shared" si="2"/>
        <v>24.903352091999022</v>
      </c>
      <c r="O26" s="8">
        <f t="shared" si="3"/>
        <v>6750</v>
      </c>
      <c r="P26" s="9">
        <f t="shared" si="4"/>
        <v>16.515781747002691</v>
      </c>
    </row>
    <row r="27" spans="1:16" ht="13.2" x14ac:dyDescent="0.25">
      <c r="A27" s="5">
        <v>23</v>
      </c>
      <c r="B27" s="6" t="s">
        <v>25</v>
      </c>
      <c r="C27" s="6" t="s">
        <v>40</v>
      </c>
      <c r="D27" s="7">
        <v>11957</v>
      </c>
      <c r="E27" s="7">
        <v>8918</v>
      </c>
      <c r="F27" s="8">
        <v>8810</v>
      </c>
      <c r="G27" s="8">
        <v>108</v>
      </c>
      <c r="H27" s="8">
        <v>77</v>
      </c>
      <c r="I27" s="8">
        <v>569</v>
      </c>
      <c r="J27" s="8">
        <v>216</v>
      </c>
      <c r="K27" s="8">
        <v>22</v>
      </c>
      <c r="L27" s="8">
        <f t="shared" si="6"/>
        <v>9802</v>
      </c>
      <c r="M27" s="8">
        <f t="shared" si="1"/>
        <v>3039</v>
      </c>
      <c r="N27" s="9">
        <f t="shared" si="2"/>
        <v>25.416074266120265</v>
      </c>
      <c r="O27" s="8">
        <f t="shared" si="3"/>
        <v>2155</v>
      </c>
      <c r="P27" s="9">
        <f t="shared" si="4"/>
        <v>18.022915447018484</v>
      </c>
    </row>
    <row r="28" spans="1:16" ht="13.2" x14ac:dyDescent="0.25">
      <c r="A28" s="5">
        <v>24</v>
      </c>
      <c r="B28" s="6" t="s">
        <v>25</v>
      </c>
      <c r="C28" s="6" t="s">
        <v>41</v>
      </c>
      <c r="D28" s="7">
        <v>6131</v>
      </c>
      <c r="E28" s="7">
        <v>4222</v>
      </c>
      <c r="F28" s="8">
        <v>4162</v>
      </c>
      <c r="G28" s="8">
        <v>60</v>
      </c>
      <c r="H28" s="8">
        <v>28</v>
      </c>
      <c r="I28" s="8">
        <v>259</v>
      </c>
      <c r="J28" s="8">
        <v>44</v>
      </c>
      <c r="K28" s="8">
        <v>8</v>
      </c>
      <c r="L28" s="8">
        <f t="shared" si="6"/>
        <v>4561</v>
      </c>
      <c r="M28" s="8">
        <f t="shared" si="1"/>
        <v>1909</v>
      </c>
      <c r="N28" s="9">
        <f t="shared" si="2"/>
        <v>31.136845539063774</v>
      </c>
      <c r="O28" s="8">
        <f t="shared" si="3"/>
        <v>1570</v>
      </c>
      <c r="P28" s="9">
        <f t="shared" si="4"/>
        <v>25.607568096558474</v>
      </c>
    </row>
    <row r="29" spans="1:16" ht="13.8" x14ac:dyDescent="0.25">
      <c r="A29" s="25" t="s">
        <v>24</v>
      </c>
      <c r="B29" s="20"/>
      <c r="C29" s="21"/>
      <c r="D29" s="10">
        <f>SUM(D13:D28)</f>
        <v>497007</v>
      </c>
      <c r="E29" s="10">
        <f t="shared" ref="E29:L29" si="7">SUM(E13:E28)</f>
        <v>398928</v>
      </c>
      <c r="F29" s="10">
        <f t="shared" si="7"/>
        <v>392256</v>
      </c>
      <c r="G29" s="10">
        <f t="shared" si="7"/>
        <v>6672</v>
      </c>
      <c r="H29" s="10">
        <f t="shared" si="7"/>
        <v>4002</v>
      </c>
      <c r="I29" s="10">
        <f t="shared" si="7"/>
        <v>19637</v>
      </c>
      <c r="J29" s="10">
        <f t="shared" si="7"/>
        <v>4167</v>
      </c>
      <c r="K29" s="10">
        <f t="shared" si="7"/>
        <v>387</v>
      </c>
      <c r="L29" s="10">
        <f t="shared" si="7"/>
        <v>427121</v>
      </c>
      <c r="M29" s="11">
        <f t="shared" si="1"/>
        <v>98079</v>
      </c>
      <c r="N29" s="12">
        <f t="shared" si="2"/>
        <v>19.733927288750461</v>
      </c>
      <c r="O29" s="11">
        <f t="shared" si="3"/>
        <v>69886</v>
      </c>
      <c r="P29" s="12">
        <f t="shared" si="4"/>
        <v>14.061371369014925</v>
      </c>
    </row>
    <row r="30" spans="1:16" ht="13.2" x14ac:dyDescent="0.25">
      <c r="A30" s="5">
        <v>25</v>
      </c>
      <c r="B30" s="6" t="s">
        <v>42</v>
      </c>
      <c r="C30" s="6" t="s">
        <v>43</v>
      </c>
      <c r="D30" s="7">
        <v>12520</v>
      </c>
      <c r="E30" s="7">
        <v>9170</v>
      </c>
      <c r="F30" s="8">
        <v>9048</v>
      </c>
      <c r="G30" s="8">
        <v>122</v>
      </c>
      <c r="H30" s="8">
        <v>103</v>
      </c>
      <c r="I30" s="8">
        <v>1485</v>
      </c>
      <c r="J30" s="8">
        <v>56</v>
      </c>
      <c r="K30" s="8">
        <v>11</v>
      </c>
      <c r="L30" s="8">
        <f t="shared" ref="L30:L46" si="8">SUM(F30:K30)</f>
        <v>10825</v>
      </c>
      <c r="M30" s="8">
        <f t="shared" si="1"/>
        <v>3350</v>
      </c>
      <c r="N30" s="9">
        <f t="shared" si="2"/>
        <v>26.757188498402556</v>
      </c>
      <c r="O30" s="8">
        <f t="shared" si="3"/>
        <v>1695</v>
      </c>
      <c r="P30" s="9">
        <f t="shared" si="4"/>
        <v>13.538338658146964</v>
      </c>
    </row>
    <row r="31" spans="1:16" ht="13.2" x14ac:dyDescent="0.25">
      <c r="A31" s="5">
        <v>26</v>
      </c>
      <c r="B31" s="6" t="s">
        <v>42</v>
      </c>
      <c r="C31" s="6" t="s">
        <v>44</v>
      </c>
      <c r="D31" s="7">
        <v>7632</v>
      </c>
      <c r="E31" s="7">
        <v>5477</v>
      </c>
      <c r="F31" s="8">
        <v>5418</v>
      </c>
      <c r="G31" s="8">
        <v>59</v>
      </c>
      <c r="H31" s="8">
        <v>62</v>
      </c>
      <c r="I31" s="8">
        <v>1015</v>
      </c>
      <c r="J31" s="8">
        <v>23</v>
      </c>
      <c r="K31" s="8">
        <v>1</v>
      </c>
      <c r="L31" s="8">
        <f t="shared" si="8"/>
        <v>6578</v>
      </c>
      <c r="M31" s="8">
        <f t="shared" si="1"/>
        <v>2155</v>
      </c>
      <c r="N31" s="9">
        <f t="shared" si="2"/>
        <v>28.236373165618449</v>
      </c>
      <c r="O31" s="8">
        <f t="shared" si="3"/>
        <v>1054</v>
      </c>
      <c r="P31" s="9">
        <f t="shared" si="4"/>
        <v>13.810272536687632</v>
      </c>
    </row>
    <row r="32" spans="1:16" ht="13.2" x14ac:dyDescent="0.25">
      <c r="A32" s="5">
        <v>27</v>
      </c>
      <c r="B32" s="6" t="s">
        <v>42</v>
      </c>
      <c r="C32" s="6" t="s">
        <v>45</v>
      </c>
      <c r="D32" s="7">
        <v>9839</v>
      </c>
      <c r="E32" s="7">
        <v>7312</v>
      </c>
      <c r="F32" s="8">
        <v>6989</v>
      </c>
      <c r="G32" s="8">
        <v>323</v>
      </c>
      <c r="H32" s="8">
        <v>114</v>
      </c>
      <c r="I32" s="8">
        <v>1455</v>
      </c>
      <c r="J32" s="8">
        <v>11</v>
      </c>
      <c r="K32" s="8">
        <v>53</v>
      </c>
      <c r="L32" s="8">
        <f t="shared" si="8"/>
        <v>8945</v>
      </c>
      <c r="M32" s="8">
        <f t="shared" si="1"/>
        <v>2527</v>
      </c>
      <c r="N32" s="9">
        <f t="shared" si="2"/>
        <v>25.683504421181013</v>
      </c>
      <c r="O32" s="8">
        <f t="shared" si="3"/>
        <v>894</v>
      </c>
      <c r="P32" s="9">
        <f t="shared" si="4"/>
        <v>9.0862892570383167</v>
      </c>
    </row>
    <row r="33" spans="1:16" ht="13.2" x14ac:dyDescent="0.25">
      <c r="A33" s="5">
        <v>28</v>
      </c>
      <c r="B33" s="6" t="s">
        <v>42</v>
      </c>
      <c r="C33" s="6" t="s">
        <v>46</v>
      </c>
      <c r="D33" s="7">
        <v>5344</v>
      </c>
      <c r="E33" s="7">
        <v>3918</v>
      </c>
      <c r="F33" s="8">
        <v>3875</v>
      </c>
      <c r="G33" s="8">
        <v>43</v>
      </c>
      <c r="H33" s="8">
        <v>58</v>
      </c>
      <c r="I33" s="8">
        <v>729</v>
      </c>
      <c r="J33" s="8">
        <v>88</v>
      </c>
      <c r="K33" s="8">
        <v>12</v>
      </c>
      <c r="L33" s="8">
        <f t="shared" si="8"/>
        <v>4805</v>
      </c>
      <c r="M33" s="8">
        <f t="shared" si="1"/>
        <v>1426</v>
      </c>
      <c r="N33" s="9">
        <f t="shared" si="2"/>
        <v>26.684131736526943</v>
      </c>
      <c r="O33" s="8">
        <f t="shared" si="3"/>
        <v>539</v>
      </c>
      <c r="P33" s="9">
        <f t="shared" si="4"/>
        <v>10.086077844311376</v>
      </c>
    </row>
    <row r="34" spans="1:16" ht="13.2" x14ac:dyDescent="0.25">
      <c r="A34" s="5">
        <v>29</v>
      </c>
      <c r="B34" s="6" t="s">
        <v>42</v>
      </c>
      <c r="C34" s="6" t="s">
        <v>47</v>
      </c>
      <c r="D34" s="7">
        <v>7301</v>
      </c>
      <c r="E34" s="7">
        <v>5172</v>
      </c>
      <c r="F34" s="8">
        <v>5077</v>
      </c>
      <c r="G34" s="8">
        <v>95</v>
      </c>
      <c r="H34" s="8">
        <v>48</v>
      </c>
      <c r="I34" s="8">
        <v>1061</v>
      </c>
      <c r="J34" s="8">
        <v>9</v>
      </c>
      <c r="K34" s="8">
        <v>5</v>
      </c>
      <c r="L34" s="8">
        <f t="shared" si="8"/>
        <v>6295</v>
      </c>
      <c r="M34" s="8">
        <f t="shared" si="1"/>
        <v>2129</v>
      </c>
      <c r="N34" s="9">
        <f t="shared" si="2"/>
        <v>29.160388987809888</v>
      </c>
      <c r="O34" s="8">
        <f t="shared" si="3"/>
        <v>1006</v>
      </c>
      <c r="P34" s="9">
        <f t="shared" si="4"/>
        <v>13.778934392548967</v>
      </c>
    </row>
    <row r="35" spans="1:16" ht="13.2" x14ac:dyDescent="0.25">
      <c r="A35" s="5">
        <v>30</v>
      </c>
      <c r="B35" s="6" t="s">
        <v>42</v>
      </c>
      <c r="C35" s="6" t="s">
        <v>42</v>
      </c>
      <c r="D35" s="7">
        <v>26807</v>
      </c>
      <c r="E35" s="7">
        <v>18401</v>
      </c>
      <c r="F35" s="8">
        <v>18179</v>
      </c>
      <c r="G35" s="8">
        <v>222</v>
      </c>
      <c r="H35" s="8">
        <v>100</v>
      </c>
      <c r="I35" s="8">
        <v>2118</v>
      </c>
      <c r="J35" s="8">
        <v>31</v>
      </c>
      <c r="K35" s="8">
        <v>5</v>
      </c>
      <c r="L35" s="8">
        <f t="shared" si="8"/>
        <v>20655</v>
      </c>
      <c r="M35" s="8">
        <f t="shared" si="1"/>
        <v>8406</v>
      </c>
      <c r="N35" s="9">
        <f t="shared" si="2"/>
        <v>31.357481254896108</v>
      </c>
      <c r="O35" s="8">
        <f t="shared" si="3"/>
        <v>6152</v>
      </c>
      <c r="P35" s="9">
        <f t="shared" si="4"/>
        <v>22.949229678815236</v>
      </c>
    </row>
    <row r="36" spans="1:16" ht="13.2" x14ac:dyDescent="0.25">
      <c r="A36" s="5">
        <v>31</v>
      </c>
      <c r="B36" s="6" t="s">
        <v>42</v>
      </c>
      <c r="C36" s="6" t="s">
        <v>48</v>
      </c>
      <c r="D36" s="7">
        <v>12090</v>
      </c>
      <c r="E36" s="7">
        <v>8089</v>
      </c>
      <c r="F36" s="8">
        <v>8016</v>
      </c>
      <c r="G36" s="8">
        <v>73</v>
      </c>
      <c r="H36" s="8">
        <v>63</v>
      </c>
      <c r="I36" s="8">
        <v>1171</v>
      </c>
      <c r="J36" s="8">
        <v>57</v>
      </c>
      <c r="K36" s="8">
        <v>5</v>
      </c>
      <c r="L36" s="8">
        <f t="shared" si="8"/>
        <v>9385</v>
      </c>
      <c r="M36" s="8">
        <f t="shared" si="1"/>
        <v>4001</v>
      </c>
      <c r="N36" s="9">
        <f t="shared" si="2"/>
        <v>33.093465674110831</v>
      </c>
      <c r="O36" s="8">
        <f t="shared" si="3"/>
        <v>2705</v>
      </c>
      <c r="P36" s="9">
        <f t="shared" si="4"/>
        <v>22.373862696443343</v>
      </c>
    </row>
    <row r="37" spans="1:16" ht="13.2" x14ac:dyDescent="0.25">
      <c r="A37" s="5">
        <v>32</v>
      </c>
      <c r="B37" s="6" t="s">
        <v>42</v>
      </c>
      <c r="C37" s="6" t="s">
        <v>49</v>
      </c>
      <c r="D37" s="7">
        <v>7760</v>
      </c>
      <c r="E37" s="7">
        <v>5752</v>
      </c>
      <c r="F37" s="8">
        <v>5699</v>
      </c>
      <c r="G37" s="8">
        <v>53</v>
      </c>
      <c r="H37" s="8">
        <v>36</v>
      </c>
      <c r="I37" s="8">
        <v>474</v>
      </c>
      <c r="J37" s="8">
        <v>8</v>
      </c>
      <c r="K37" s="8">
        <v>12</v>
      </c>
      <c r="L37" s="8">
        <f t="shared" si="8"/>
        <v>6282</v>
      </c>
      <c r="M37" s="8">
        <f t="shared" si="1"/>
        <v>2008</v>
      </c>
      <c r="N37" s="9">
        <f t="shared" si="2"/>
        <v>25.876288659793818</v>
      </c>
      <c r="O37" s="8">
        <f t="shared" si="3"/>
        <v>1478</v>
      </c>
      <c r="P37" s="9">
        <f t="shared" si="4"/>
        <v>19.046391752577318</v>
      </c>
    </row>
    <row r="38" spans="1:16" ht="13.2" x14ac:dyDescent="0.25">
      <c r="A38" s="5">
        <v>33</v>
      </c>
      <c r="B38" s="6" t="s">
        <v>42</v>
      </c>
      <c r="C38" s="6" t="s">
        <v>50</v>
      </c>
      <c r="D38" s="7">
        <v>9723</v>
      </c>
      <c r="E38" s="7">
        <v>6061</v>
      </c>
      <c r="F38" s="8">
        <v>6009</v>
      </c>
      <c r="G38" s="8">
        <v>52</v>
      </c>
      <c r="H38" s="8">
        <v>78</v>
      </c>
      <c r="I38" s="8">
        <v>941</v>
      </c>
      <c r="J38" s="8">
        <v>10</v>
      </c>
      <c r="K38" s="8">
        <v>34</v>
      </c>
      <c r="L38" s="8">
        <f t="shared" si="8"/>
        <v>7124</v>
      </c>
      <c r="M38" s="8">
        <f t="shared" si="1"/>
        <v>3662</v>
      </c>
      <c r="N38" s="9">
        <f t="shared" si="2"/>
        <v>37.663272652473516</v>
      </c>
      <c r="O38" s="8">
        <f t="shared" si="3"/>
        <v>2599</v>
      </c>
      <c r="P38" s="9">
        <f t="shared" si="4"/>
        <v>26.730432993931913</v>
      </c>
    </row>
    <row r="39" spans="1:16" ht="13.2" x14ac:dyDescent="0.25">
      <c r="A39" s="5">
        <v>34</v>
      </c>
      <c r="B39" s="6" t="s">
        <v>42</v>
      </c>
      <c r="C39" s="6" t="s">
        <v>51</v>
      </c>
      <c r="D39" s="7">
        <v>8418</v>
      </c>
      <c r="E39" s="7">
        <v>5921</v>
      </c>
      <c r="F39" s="8">
        <v>5819</v>
      </c>
      <c r="G39" s="8">
        <v>102</v>
      </c>
      <c r="H39" s="8">
        <v>44</v>
      </c>
      <c r="I39" s="8">
        <v>859</v>
      </c>
      <c r="J39" s="8">
        <v>8</v>
      </c>
      <c r="K39" s="8">
        <v>5</v>
      </c>
      <c r="L39" s="8">
        <f t="shared" si="8"/>
        <v>6837</v>
      </c>
      <c r="M39" s="8">
        <f t="shared" si="1"/>
        <v>2497</v>
      </c>
      <c r="N39" s="9">
        <f t="shared" si="2"/>
        <v>29.662627702542171</v>
      </c>
      <c r="O39" s="8">
        <f t="shared" si="3"/>
        <v>1581</v>
      </c>
      <c r="P39" s="9">
        <f t="shared" si="4"/>
        <v>18.781183178902353</v>
      </c>
    </row>
    <row r="40" spans="1:16" ht="13.2" x14ac:dyDescent="0.25">
      <c r="A40" s="5">
        <v>35</v>
      </c>
      <c r="B40" s="6" t="s">
        <v>42</v>
      </c>
      <c r="C40" s="6" t="s">
        <v>52</v>
      </c>
      <c r="D40" s="7">
        <v>10738</v>
      </c>
      <c r="E40" s="7">
        <v>7745</v>
      </c>
      <c r="F40" s="8">
        <v>7659</v>
      </c>
      <c r="G40" s="8">
        <v>86</v>
      </c>
      <c r="H40" s="8">
        <v>83</v>
      </c>
      <c r="I40" s="8">
        <v>910</v>
      </c>
      <c r="J40" s="8">
        <v>9</v>
      </c>
      <c r="K40" s="8">
        <v>18</v>
      </c>
      <c r="L40" s="8">
        <f t="shared" si="8"/>
        <v>8765</v>
      </c>
      <c r="M40" s="8">
        <f t="shared" si="1"/>
        <v>2993</v>
      </c>
      <c r="N40" s="9">
        <f t="shared" si="2"/>
        <v>27.872974483143974</v>
      </c>
      <c r="O40" s="8">
        <f t="shared" si="3"/>
        <v>1973</v>
      </c>
      <c r="P40" s="9">
        <f t="shared" si="4"/>
        <v>18.373998882473458</v>
      </c>
    </row>
    <row r="41" spans="1:16" ht="13.2" x14ac:dyDescent="0.25">
      <c r="A41" s="5">
        <v>36</v>
      </c>
      <c r="B41" s="6" t="s">
        <v>42</v>
      </c>
      <c r="C41" s="6" t="s">
        <v>53</v>
      </c>
      <c r="D41" s="7">
        <v>12512</v>
      </c>
      <c r="E41" s="7">
        <v>10189</v>
      </c>
      <c r="F41" s="8">
        <v>10063</v>
      </c>
      <c r="G41" s="8">
        <v>126</v>
      </c>
      <c r="H41" s="8">
        <v>94</v>
      </c>
      <c r="I41" s="8">
        <v>165</v>
      </c>
      <c r="J41" s="8">
        <v>2</v>
      </c>
      <c r="K41" s="8">
        <v>816</v>
      </c>
      <c r="L41" s="8">
        <f t="shared" si="8"/>
        <v>11266</v>
      </c>
      <c r="M41" s="8">
        <f t="shared" si="1"/>
        <v>2323</v>
      </c>
      <c r="N41" s="9">
        <f t="shared" si="2"/>
        <v>18.566176470588236</v>
      </c>
      <c r="O41" s="8">
        <f t="shared" si="3"/>
        <v>1246</v>
      </c>
      <c r="P41" s="9">
        <f t="shared" si="4"/>
        <v>9.9584398976982094</v>
      </c>
    </row>
    <row r="42" spans="1:16" ht="13.2" x14ac:dyDescent="0.25">
      <c r="A42" s="5">
        <v>37</v>
      </c>
      <c r="B42" s="6" t="s">
        <v>42</v>
      </c>
      <c r="C42" s="6" t="s">
        <v>54</v>
      </c>
      <c r="D42" s="7">
        <v>6279</v>
      </c>
      <c r="E42" s="7">
        <v>4721</v>
      </c>
      <c r="F42" s="8">
        <v>4659</v>
      </c>
      <c r="G42" s="8">
        <v>62</v>
      </c>
      <c r="H42" s="8">
        <v>46</v>
      </c>
      <c r="I42" s="8">
        <v>401</v>
      </c>
      <c r="J42" s="8">
        <v>0</v>
      </c>
      <c r="K42" s="8">
        <v>34</v>
      </c>
      <c r="L42" s="8">
        <f t="shared" si="8"/>
        <v>5202</v>
      </c>
      <c r="M42" s="8">
        <f t="shared" si="1"/>
        <v>1558</v>
      </c>
      <c r="N42" s="9">
        <f t="shared" si="2"/>
        <v>24.81286829112916</v>
      </c>
      <c r="O42" s="8">
        <f t="shared" si="3"/>
        <v>1077</v>
      </c>
      <c r="P42" s="9">
        <f t="shared" si="4"/>
        <v>17.152412804586717</v>
      </c>
    </row>
    <row r="43" spans="1:16" ht="13.2" x14ac:dyDescent="0.25">
      <c r="A43" s="5">
        <v>38</v>
      </c>
      <c r="B43" s="6" t="s">
        <v>42</v>
      </c>
      <c r="C43" s="6" t="s">
        <v>55</v>
      </c>
      <c r="D43" s="7">
        <v>4654</v>
      </c>
      <c r="E43" s="7">
        <v>3666</v>
      </c>
      <c r="F43" s="8">
        <v>3621</v>
      </c>
      <c r="G43" s="8">
        <v>45</v>
      </c>
      <c r="H43" s="8">
        <v>34</v>
      </c>
      <c r="I43" s="8">
        <v>223</v>
      </c>
      <c r="J43" s="8">
        <v>4</v>
      </c>
      <c r="K43" s="8">
        <v>8</v>
      </c>
      <c r="L43" s="8">
        <f t="shared" si="8"/>
        <v>3935</v>
      </c>
      <c r="M43" s="8">
        <f t="shared" si="1"/>
        <v>988</v>
      </c>
      <c r="N43" s="9">
        <f t="shared" si="2"/>
        <v>21.229050279329609</v>
      </c>
      <c r="O43" s="8">
        <f t="shared" si="3"/>
        <v>719</v>
      </c>
      <c r="P43" s="9">
        <f t="shared" si="4"/>
        <v>15.449076063601202</v>
      </c>
    </row>
    <row r="44" spans="1:16" ht="13.2" x14ac:dyDescent="0.25">
      <c r="A44" s="5">
        <v>39</v>
      </c>
      <c r="B44" s="6" t="s">
        <v>42</v>
      </c>
      <c r="C44" s="6" t="s">
        <v>56</v>
      </c>
      <c r="D44" s="7">
        <v>8295</v>
      </c>
      <c r="E44" s="7">
        <v>6574</v>
      </c>
      <c r="F44" s="8">
        <v>6495</v>
      </c>
      <c r="G44" s="8">
        <v>79</v>
      </c>
      <c r="H44" s="8">
        <v>65</v>
      </c>
      <c r="I44" s="8">
        <v>591</v>
      </c>
      <c r="J44" s="8">
        <v>1</v>
      </c>
      <c r="K44" s="8">
        <v>3</v>
      </c>
      <c r="L44" s="8">
        <f t="shared" si="8"/>
        <v>7234</v>
      </c>
      <c r="M44" s="8">
        <f t="shared" si="1"/>
        <v>1721</v>
      </c>
      <c r="N44" s="9">
        <f t="shared" si="2"/>
        <v>20.747438215792645</v>
      </c>
      <c r="O44" s="8">
        <f t="shared" si="3"/>
        <v>1061</v>
      </c>
      <c r="P44" s="9">
        <f t="shared" si="4"/>
        <v>12.790837854128995</v>
      </c>
    </row>
    <row r="45" spans="1:16" ht="13.2" x14ac:dyDescent="0.25">
      <c r="A45" s="5">
        <v>40</v>
      </c>
      <c r="B45" s="6" t="s">
        <v>42</v>
      </c>
      <c r="C45" s="6" t="s">
        <v>57</v>
      </c>
      <c r="D45" s="7">
        <v>7201</v>
      </c>
      <c r="E45" s="7">
        <v>6051</v>
      </c>
      <c r="F45" s="8">
        <v>5962</v>
      </c>
      <c r="G45" s="8">
        <v>89</v>
      </c>
      <c r="H45" s="8">
        <v>67</v>
      </c>
      <c r="I45" s="8">
        <v>587</v>
      </c>
      <c r="J45" s="8">
        <v>0</v>
      </c>
      <c r="K45" s="8">
        <v>7</v>
      </c>
      <c r="L45" s="8">
        <f t="shared" si="8"/>
        <v>6712</v>
      </c>
      <c r="M45" s="8">
        <f t="shared" si="1"/>
        <v>1150</v>
      </c>
      <c r="N45" s="9">
        <f t="shared" si="2"/>
        <v>15.970004166088042</v>
      </c>
      <c r="O45" s="8">
        <f t="shared" si="3"/>
        <v>489</v>
      </c>
      <c r="P45" s="9">
        <f t="shared" si="4"/>
        <v>6.7907235106235238</v>
      </c>
    </row>
    <row r="46" spans="1:16" ht="13.2" x14ac:dyDescent="0.25">
      <c r="A46" s="5">
        <v>41</v>
      </c>
      <c r="B46" s="6" t="s">
        <v>42</v>
      </c>
      <c r="C46" s="6" t="s">
        <v>58</v>
      </c>
      <c r="D46" s="7">
        <v>11909</v>
      </c>
      <c r="E46" s="7">
        <v>9665</v>
      </c>
      <c r="F46" s="8">
        <v>9490</v>
      </c>
      <c r="G46" s="8">
        <v>175</v>
      </c>
      <c r="H46" s="8">
        <v>141</v>
      </c>
      <c r="I46" s="8">
        <v>1087</v>
      </c>
      <c r="J46" s="8">
        <v>5</v>
      </c>
      <c r="K46" s="8">
        <v>11</v>
      </c>
      <c r="L46" s="8">
        <f t="shared" si="8"/>
        <v>10909</v>
      </c>
      <c r="M46" s="8">
        <f t="shared" si="1"/>
        <v>2244</v>
      </c>
      <c r="N46" s="9">
        <f t="shared" si="2"/>
        <v>18.842891930472753</v>
      </c>
      <c r="O46" s="8">
        <f t="shared" si="3"/>
        <v>1000</v>
      </c>
      <c r="P46" s="9">
        <f t="shared" si="4"/>
        <v>8.3970106642035436</v>
      </c>
    </row>
    <row r="47" spans="1:16" ht="13.8" x14ac:dyDescent="0.25">
      <c r="A47" s="25" t="s">
        <v>24</v>
      </c>
      <c r="B47" s="20"/>
      <c r="C47" s="21"/>
      <c r="D47" s="10">
        <f t="shared" ref="D47:L47" si="9">SUM(D30:D46)</f>
        <v>169022</v>
      </c>
      <c r="E47" s="10">
        <f t="shared" si="9"/>
        <v>123884</v>
      </c>
      <c r="F47" s="10">
        <f t="shared" si="9"/>
        <v>122078</v>
      </c>
      <c r="G47" s="10">
        <f t="shared" si="9"/>
        <v>1806</v>
      </c>
      <c r="H47" s="10">
        <f t="shared" si="9"/>
        <v>1236</v>
      </c>
      <c r="I47" s="10">
        <f t="shared" si="9"/>
        <v>15272</v>
      </c>
      <c r="J47" s="10">
        <f t="shared" si="9"/>
        <v>322</v>
      </c>
      <c r="K47" s="10">
        <f t="shared" si="9"/>
        <v>1040</v>
      </c>
      <c r="L47" s="10">
        <f t="shared" si="9"/>
        <v>141754</v>
      </c>
      <c r="M47" s="11">
        <f t="shared" si="1"/>
        <v>45138</v>
      </c>
      <c r="N47" s="12">
        <f t="shared" si="2"/>
        <v>26.705399297132921</v>
      </c>
      <c r="O47" s="11">
        <f t="shared" si="3"/>
        <v>27268</v>
      </c>
      <c r="P47" s="12">
        <f t="shared" si="4"/>
        <v>16.13281111334619</v>
      </c>
    </row>
    <row r="48" spans="1:16" ht="13.2" x14ac:dyDescent="0.25">
      <c r="A48" s="5">
        <v>42</v>
      </c>
      <c r="B48" s="6" t="s">
        <v>59</v>
      </c>
      <c r="C48" s="6" t="s">
        <v>60</v>
      </c>
      <c r="D48" s="7">
        <v>21551</v>
      </c>
      <c r="E48" s="8">
        <v>16025</v>
      </c>
      <c r="F48" s="8">
        <v>15729</v>
      </c>
      <c r="G48" s="8">
        <v>296</v>
      </c>
      <c r="H48" s="8">
        <v>222</v>
      </c>
      <c r="I48" s="8">
        <v>1793</v>
      </c>
      <c r="J48" s="8">
        <v>24</v>
      </c>
      <c r="K48" s="8">
        <v>10</v>
      </c>
      <c r="L48" s="8">
        <f t="shared" ref="L48:L58" si="10">SUM(F48:K48)</f>
        <v>18074</v>
      </c>
      <c r="M48" s="8">
        <f t="shared" si="1"/>
        <v>5526</v>
      </c>
      <c r="N48" s="9">
        <f t="shared" si="2"/>
        <v>25.64150155445223</v>
      </c>
      <c r="O48" s="8">
        <f t="shared" si="3"/>
        <v>3477</v>
      </c>
      <c r="P48" s="9">
        <f t="shared" si="4"/>
        <v>16.133822096422438</v>
      </c>
    </row>
    <row r="49" spans="1:16" ht="13.2" x14ac:dyDescent="0.25">
      <c r="A49" s="5">
        <v>43</v>
      </c>
      <c r="B49" s="6" t="s">
        <v>59</v>
      </c>
      <c r="C49" s="6" t="s">
        <v>61</v>
      </c>
      <c r="D49" s="7">
        <v>12249</v>
      </c>
      <c r="E49" s="8">
        <v>10190</v>
      </c>
      <c r="F49" s="8">
        <v>9930</v>
      </c>
      <c r="G49" s="8">
        <v>260</v>
      </c>
      <c r="H49" s="8">
        <v>100</v>
      </c>
      <c r="I49" s="8">
        <v>807</v>
      </c>
      <c r="J49" s="8">
        <v>3</v>
      </c>
      <c r="K49" s="8">
        <v>8</v>
      </c>
      <c r="L49" s="8">
        <f t="shared" si="10"/>
        <v>11108</v>
      </c>
      <c r="M49" s="8">
        <f t="shared" si="1"/>
        <v>2059</v>
      </c>
      <c r="N49" s="9">
        <f t="shared" si="2"/>
        <v>16.80953547228345</v>
      </c>
      <c r="O49" s="8">
        <f t="shared" si="3"/>
        <v>1141</v>
      </c>
      <c r="P49" s="9">
        <f t="shared" si="4"/>
        <v>9.3150461262143853</v>
      </c>
    </row>
    <row r="50" spans="1:16" ht="13.2" x14ac:dyDescent="0.25">
      <c r="A50" s="5">
        <v>44</v>
      </c>
      <c r="B50" s="6" t="s">
        <v>59</v>
      </c>
      <c r="C50" s="6" t="s">
        <v>59</v>
      </c>
      <c r="D50" s="7">
        <v>67005</v>
      </c>
      <c r="E50" s="8">
        <v>47973</v>
      </c>
      <c r="F50" s="8">
        <v>47451</v>
      </c>
      <c r="G50" s="8">
        <v>522</v>
      </c>
      <c r="H50" s="8">
        <v>373</v>
      </c>
      <c r="I50" s="8">
        <v>2043</v>
      </c>
      <c r="J50" s="8">
        <v>41</v>
      </c>
      <c r="K50" s="8">
        <v>45</v>
      </c>
      <c r="L50" s="8">
        <f t="shared" si="10"/>
        <v>50475</v>
      </c>
      <c r="M50" s="8">
        <f t="shared" si="1"/>
        <v>19032</v>
      </c>
      <c r="N50" s="9">
        <f t="shared" si="2"/>
        <v>28.403850458920978</v>
      </c>
      <c r="O50" s="8">
        <f t="shared" si="3"/>
        <v>16530</v>
      </c>
      <c r="P50" s="9">
        <f t="shared" si="4"/>
        <v>24.669800761137228</v>
      </c>
    </row>
    <row r="51" spans="1:16" ht="13.2" x14ac:dyDescent="0.25">
      <c r="A51" s="5">
        <v>45</v>
      </c>
      <c r="B51" s="6" t="s">
        <v>59</v>
      </c>
      <c r="C51" s="6" t="s">
        <v>62</v>
      </c>
      <c r="D51" s="7">
        <v>40308</v>
      </c>
      <c r="E51" s="8">
        <v>33230</v>
      </c>
      <c r="F51" s="8">
        <v>32702</v>
      </c>
      <c r="G51" s="8">
        <v>528</v>
      </c>
      <c r="H51" s="8">
        <v>267</v>
      </c>
      <c r="I51" s="8">
        <v>1099</v>
      </c>
      <c r="J51" s="8">
        <v>21</v>
      </c>
      <c r="K51" s="8">
        <v>18</v>
      </c>
      <c r="L51" s="8">
        <f t="shared" si="10"/>
        <v>34635</v>
      </c>
      <c r="M51" s="8">
        <f t="shared" si="1"/>
        <v>7078</v>
      </c>
      <c r="N51" s="9">
        <f t="shared" si="2"/>
        <v>17.559789619926566</v>
      </c>
      <c r="O51" s="8">
        <f t="shared" si="3"/>
        <v>5673</v>
      </c>
      <c r="P51" s="9">
        <f t="shared" si="4"/>
        <v>14.074129205120572</v>
      </c>
    </row>
    <row r="52" spans="1:16" ht="13.2" x14ac:dyDescent="0.25">
      <c r="A52" s="5">
        <v>46</v>
      </c>
      <c r="B52" s="6" t="s">
        <v>59</v>
      </c>
      <c r="C52" s="6" t="s">
        <v>63</v>
      </c>
      <c r="D52" s="7">
        <v>2237</v>
      </c>
      <c r="E52" s="8">
        <v>1285</v>
      </c>
      <c r="F52" s="8">
        <v>1271</v>
      </c>
      <c r="G52" s="8">
        <v>14</v>
      </c>
      <c r="H52" s="8">
        <v>10</v>
      </c>
      <c r="I52" s="8">
        <v>2</v>
      </c>
      <c r="J52" s="8">
        <v>0</v>
      </c>
      <c r="K52" s="8">
        <v>7</v>
      </c>
      <c r="L52" s="8">
        <f t="shared" si="10"/>
        <v>1304</v>
      </c>
      <c r="M52" s="8">
        <f t="shared" si="1"/>
        <v>952</v>
      </c>
      <c r="N52" s="9">
        <f t="shared" si="2"/>
        <v>42.556995976754578</v>
      </c>
      <c r="O52" s="8">
        <f t="shared" si="3"/>
        <v>933</v>
      </c>
      <c r="P52" s="9">
        <f t="shared" si="4"/>
        <v>41.707644166294145</v>
      </c>
    </row>
    <row r="53" spans="1:16" ht="13.2" x14ac:dyDescent="0.25">
      <c r="A53" s="5">
        <v>47</v>
      </c>
      <c r="B53" s="6" t="s">
        <v>59</v>
      </c>
      <c r="C53" s="6" t="s">
        <v>64</v>
      </c>
      <c r="D53" s="7">
        <v>61006</v>
      </c>
      <c r="E53" s="8">
        <v>44947</v>
      </c>
      <c r="F53" s="8">
        <v>44129</v>
      </c>
      <c r="G53" s="8">
        <v>818</v>
      </c>
      <c r="H53" s="8">
        <v>496</v>
      </c>
      <c r="I53" s="8">
        <v>2395</v>
      </c>
      <c r="J53" s="8">
        <v>39</v>
      </c>
      <c r="K53" s="8">
        <v>17</v>
      </c>
      <c r="L53" s="8">
        <f t="shared" si="10"/>
        <v>47894</v>
      </c>
      <c r="M53" s="8">
        <f t="shared" si="1"/>
        <v>16059</v>
      </c>
      <c r="N53" s="9">
        <f t="shared" si="2"/>
        <v>26.323640297675638</v>
      </c>
      <c r="O53" s="8">
        <f t="shared" si="3"/>
        <v>13112</v>
      </c>
      <c r="P53" s="9">
        <f t="shared" si="4"/>
        <v>21.492967904796252</v>
      </c>
    </row>
    <row r="54" spans="1:16" ht="13.2" x14ac:dyDescent="0.25">
      <c r="A54" s="5">
        <v>48</v>
      </c>
      <c r="B54" s="6" t="s">
        <v>59</v>
      </c>
      <c r="C54" s="6" t="s">
        <v>65</v>
      </c>
      <c r="D54" s="7">
        <v>25056</v>
      </c>
      <c r="E54" s="8">
        <v>20810</v>
      </c>
      <c r="F54" s="8">
        <v>20372</v>
      </c>
      <c r="G54" s="8">
        <v>438</v>
      </c>
      <c r="H54" s="8">
        <v>182</v>
      </c>
      <c r="I54" s="8">
        <v>1302</v>
      </c>
      <c r="J54" s="8">
        <v>32</v>
      </c>
      <c r="K54" s="8">
        <v>37</v>
      </c>
      <c r="L54" s="8">
        <f t="shared" si="10"/>
        <v>22363</v>
      </c>
      <c r="M54" s="8">
        <f t="shared" si="1"/>
        <v>4246</v>
      </c>
      <c r="N54" s="9">
        <f t="shared" si="2"/>
        <v>16.946040868454663</v>
      </c>
      <c r="O54" s="8">
        <f t="shared" si="3"/>
        <v>2693</v>
      </c>
      <c r="P54" s="9">
        <f t="shared" si="4"/>
        <v>10.747924648786718</v>
      </c>
    </row>
    <row r="55" spans="1:16" ht="13.2" x14ac:dyDescent="0.25">
      <c r="A55" s="5">
        <v>49</v>
      </c>
      <c r="B55" s="6" t="s">
        <v>59</v>
      </c>
      <c r="C55" s="6" t="s">
        <v>66</v>
      </c>
      <c r="D55" s="7">
        <v>16060</v>
      </c>
      <c r="E55" s="8">
        <v>12609</v>
      </c>
      <c r="F55" s="8">
        <v>12377</v>
      </c>
      <c r="G55" s="8">
        <v>232</v>
      </c>
      <c r="H55" s="8">
        <v>134</v>
      </c>
      <c r="I55" s="8">
        <v>810</v>
      </c>
      <c r="J55" s="8">
        <v>20</v>
      </c>
      <c r="K55" s="8">
        <v>22</v>
      </c>
      <c r="L55" s="8">
        <f t="shared" si="10"/>
        <v>13595</v>
      </c>
      <c r="M55" s="8">
        <f t="shared" si="1"/>
        <v>3451</v>
      </c>
      <c r="N55" s="9">
        <f t="shared" si="2"/>
        <v>21.488169364881692</v>
      </c>
      <c r="O55" s="8">
        <f t="shared" si="3"/>
        <v>2465</v>
      </c>
      <c r="P55" s="9">
        <f t="shared" si="4"/>
        <v>15.348692403486924</v>
      </c>
    </row>
    <row r="56" spans="1:16" ht="13.2" x14ac:dyDescent="0.25">
      <c r="A56" s="5">
        <v>50</v>
      </c>
      <c r="B56" s="6" t="s">
        <v>59</v>
      </c>
      <c r="C56" s="6" t="s">
        <v>67</v>
      </c>
      <c r="D56" s="7">
        <v>25041</v>
      </c>
      <c r="E56" s="8">
        <v>19745</v>
      </c>
      <c r="F56" s="8">
        <v>18930</v>
      </c>
      <c r="G56" s="8">
        <v>815</v>
      </c>
      <c r="H56" s="8">
        <v>146</v>
      </c>
      <c r="I56" s="8">
        <v>1332</v>
      </c>
      <c r="J56" s="8">
        <v>23</v>
      </c>
      <c r="K56" s="8">
        <v>245</v>
      </c>
      <c r="L56" s="8">
        <f t="shared" si="10"/>
        <v>21491</v>
      </c>
      <c r="M56" s="8">
        <f t="shared" si="1"/>
        <v>5296</v>
      </c>
      <c r="N56" s="9">
        <f t="shared" si="2"/>
        <v>21.149315123197958</v>
      </c>
      <c r="O56" s="8">
        <f t="shared" si="3"/>
        <v>3550</v>
      </c>
      <c r="P56" s="9">
        <f t="shared" si="4"/>
        <v>14.17675012978715</v>
      </c>
    </row>
    <row r="57" spans="1:16" ht="13.2" x14ac:dyDescent="0.25">
      <c r="A57" s="5">
        <v>51</v>
      </c>
      <c r="B57" s="6" t="s">
        <v>59</v>
      </c>
      <c r="C57" s="6" t="s">
        <v>68</v>
      </c>
      <c r="D57" s="7">
        <v>12303</v>
      </c>
      <c r="E57" s="8">
        <v>9797</v>
      </c>
      <c r="F57" s="8">
        <v>9432</v>
      </c>
      <c r="G57" s="8">
        <v>365</v>
      </c>
      <c r="H57" s="8">
        <v>118</v>
      </c>
      <c r="I57" s="8">
        <v>865</v>
      </c>
      <c r="J57" s="8">
        <v>8</v>
      </c>
      <c r="K57" s="8">
        <v>18</v>
      </c>
      <c r="L57" s="8">
        <f t="shared" si="10"/>
        <v>10806</v>
      </c>
      <c r="M57" s="8">
        <f t="shared" si="1"/>
        <v>2506</v>
      </c>
      <c r="N57" s="9">
        <f t="shared" si="2"/>
        <v>20.369015687230757</v>
      </c>
      <c r="O57" s="8">
        <f t="shared" si="3"/>
        <v>1497</v>
      </c>
      <c r="P57" s="9">
        <f t="shared" si="4"/>
        <v>12.167763960009752</v>
      </c>
    </row>
    <row r="58" spans="1:16" ht="13.2" x14ac:dyDescent="0.25">
      <c r="A58" s="5">
        <v>52</v>
      </c>
      <c r="B58" s="6" t="s">
        <v>59</v>
      </c>
      <c r="C58" s="6" t="s">
        <v>69</v>
      </c>
      <c r="D58" s="7">
        <v>9482</v>
      </c>
      <c r="E58" s="8">
        <v>6406</v>
      </c>
      <c r="F58" s="8">
        <v>6265</v>
      </c>
      <c r="G58" s="8">
        <v>141</v>
      </c>
      <c r="H58" s="8">
        <v>83</v>
      </c>
      <c r="I58" s="8">
        <v>1025</v>
      </c>
      <c r="J58" s="8">
        <v>8</v>
      </c>
      <c r="K58" s="8">
        <v>6</v>
      </c>
      <c r="L58" s="8">
        <f t="shared" si="10"/>
        <v>7528</v>
      </c>
      <c r="M58" s="8">
        <f t="shared" si="1"/>
        <v>3076</v>
      </c>
      <c r="N58" s="9">
        <f t="shared" si="2"/>
        <v>32.440413414891374</v>
      </c>
      <c r="O58" s="8">
        <f t="shared" si="3"/>
        <v>1954</v>
      </c>
      <c r="P58" s="9">
        <f t="shared" si="4"/>
        <v>20.607466779160514</v>
      </c>
    </row>
    <row r="59" spans="1:16" ht="13.8" x14ac:dyDescent="0.25">
      <c r="A59" s="25" t="s">
        <v>24</v>
      </c>
      <c r="B59" s="20"/>
      <c r="C59" s="21"/>
      <c r="D59" s="10">
        <f>SUM(D48:D58)</f>
        <v>292298</v>
      </c>
      <c r="E59" s="10">
        <f t="shared" ref="E59:L59" si="11">SUM(E48:E58)</f>
        <v>223017</v>
      </c>
      <c r="F59" s="10">
        <f t="shared" si="11"/>
        <v>218588</v>
      </c>
      <c r="G59" s="10">
        <f t="shared" si="11"/>
        <v>4429</v>
      </c>
      <c r="H59" s="10">
        <f t="shared" si="11"/>
        <v>2131</v>
      </c>
      <c r="I59" s="10">
        <f t="shared" si="11"/>
        <v>13473</v>
      </c>
      <c r="J59" s="10">
        <f t="shared" si="11"/>
        <v>219</v>
      </c>
      <c r="K59" s="10">
        <f t="shared" si="11"/>
        <v>433</v>
      </c>
      <c r="L59" s="10">
        <f t="shared" si="11"/>
        <v>239273</v>
      </c>
      <c r="M59" s="11">
        <f t="shared" si="1"/>
        <v>69281</v>
      </c>
      <c r="N59" s="12">
        <f t="shared" si="2"/>
        <v>23.702180651253173</v>
      </c>
      <c r="O59" s="11">
        <f t="shared" si="3"/>
        <v>53025</v>
      </c>
      <c r="P59" s="12">
        <f t="shared" si="4"/>
        <v>18.140733087465534</v>
      </c>
    </row>
    <row r="60" spans="1:16" ht="13.2" x14ac:dyDescent="0.25">
      <c r="A60" s="5">
        <v>53</v>
      </c>
      <c r="B60" s="6" t="s">
        <v>70</v>
      </c>
      <c r="C60" s="6" t="s">
        <v>71</v>
      </c>
      <c r="D60" s="7">
        <v>16409</v>
      </c>
      <c r="E60" s="8">
        <v>12638</v>
      </c>
      <c r="F60" s="8">
        <v>12297</v>
      </c>
      <c r="G60" s="8">
        <v>341</v>
      </c>
      <c r="H60" s="8">
        <v>103</v>
      </c>
      <c r="I60" s="8">
        <v>901</v>
      </c>
      <c r="J60" s="8">
        <v>11</v>
      </c>
      <c r="K60" s="8">
        <v>9</v>
      </c>
      <c r="L60" s="8">
        <f t="shared" ref="L60:L71" si="12">SUM(F60:K60)</f>
        <v>13662</v>
      </c>
      <c r="M60" s="8">
        <f t="shared" si="1"/>
        <v>3771</v>
      </c>
      <c r="N60" s="9">
        <f t="shared" si="2"/>
        <v>22.981290755073434</v>
      </c>
      <c r="O60" s="8">
        <f t="shared" si="3"/>
        <v>2747</v>
      </c>
      <c r="P60" s="9">
        <f t="shared" si="4"/>
        <v>16.7408129684929</v>
      </c>
    </row>
    <row r="61" spans="1:16" ht="13.2" x14ac:dyDescent="0.25">
      <c r="A61" s="5">
        <v>54</v>
      </c>
      <c r="B61" s="6" t="s">
        <v>70</v>
      </c>
      <c r="C61" s="6" t="s">
        <v>72</v>
      </c>
      <c r="D61" s="7">
        <v>17067</v>
      </c>
      <c r="E61" s="8">
        <v>13223</v>
      </c>
      <c r="F61" s="8">
        <v>12823</v>
      </c>
      <c r="G61" s="8">
        <v>400</v>
      </c>
      <c r="H61" s="8">
        <v>125</v>
      </c>
      <c r="I61" s="8">
        <v>722</v>
      </c>
      <c r="J61" s="8">
        <v>20</v>
      </c>
      <c r="K61" s="8">
        <v>24</v>
      </c>
      <c r="L61" s="8">
        <f t="shared" si="12"/>
        <v>14114</v>
      </c>
      <c r="M61" s="8">
        <f t="shared" si="1"/>
        <v>3844</v>
      </c>
      <c r="N61" s="9">
        <f t="shared" si="2"/>
        <v>22.522997597703171</v>
      </c>
      <c r="O61" s="8">
        <f t="shared" si="3"/>
        <v>2953</v>
      </c>
      <c r="P61" s="9">
        <f t="shared" si="4"/>
        <v>17.302396437569577</v>
      </c>
    </row>
    <row r="62" spans="1:16" ht="13.2" x14ac:dyDescent="0.25">
      <c r="A62" s="5">
        <v>55</v>
      </c>
      <c r="B62" s="6" t="s">
        <v>70</v>
      </c>
      <c r="C62" s="6" t="s">
        <v>73</v>
      </c>
      <c r="D62" s="7">
        <v>6441</v>
      </c>
      <c r="E62" s="8">
        <v>4972</v>
      </c>
      <c r="F62" s="8">
        <v>4792</v>
      </c>
      <c r="G62" s="8">
        <v>180</v>
      </c>
      <c r="H62" s="8">
        <v>31</v>
      </c>
      <c r="I62" s="8">
        <v>548</v>
      </c>
      <c r="J62" s="8">
        <v>8</v>
      </c>
      <c r="K62" s="8">
        <v>1</v>
      </c>
      <c r="L62" s="8">
        <f t="shared" si="12"/>
        <v>5560</v>
      </c>
      <c r="M62" s="8">
        <f t="shared" si="1"/>
        <v>1469</v>
      </c>
      <c r="N62" s="9">
        <f t="shared" si="2"/>
        <v>22.807017543859647</v>
      </c>
      <c r="O62" s="8">
        <f t="shared" si="3"/>
        <v>881</v>
      </c>
      <c r="P62" s="9">
        <f t="shared" si="4"/>
        <v>13.678000310510791</v>
      </c>
    </row>
    <row r="63" spans="1:16" ht="13.2" x14ac:dyDescent="0.25">
      <c r="A63" s="5">
        <v>56</v>
      </c>
      <c r="B63" s="6" t="s">
        <v>70</v>
      </c>
      <c r="C63" s="6" t="s">
        <v>74</v>
      </c>
      <c r="D63" s="7">
        <v>21198</v>
      </c>
      <c r="E63" s="8">
        <v>14331</v>
      </c>
      <c r="F63" s="8">
        <v>14035</v>
      </c>
      <c r="G63" s="8">
        <v>296</v>
      </c>
      <c r="H63" s="8">
        <v>70</v>
      </c>
      <c r="I63" s="8">
        <v>591</v>
      </c>
      <c r="J63" s="8">
        <v>6</v>
      </c>
      <c r="K63" s="8">
        <v>4</v>
      </c>
      <c r="L63" s="8">
        <f t="shared" si="12"/>
        <v>15002</v>
      </c>
      <c r="M63" s="8">
        <f t="shared" si="1"/>
        <v>6867</v>
      </c>
      <c r="N63" s="9">
        <f t="shared" si="2"/>
        <v>32.394565525049536</v>
      </c>
      <c r="O63" s="8">
        <f t="shared" si="3"/>
        <v>6196</v>
      </c>
      <c r="P63" s="9">
        <f t="shared" si="4"/>
        <v>29.229172563449378</v>
      </c>
    </row>
    <row r="64" spans="1:16" ht="13.2" x14ac:dyDescent="0.25">
      <c r="A64" s="5">
        <v>57</v>
      </c>
      <c r="B64" s="6" t="s">
        <v>70</v>
      </c>
      <c r="C64" s="6" t="s">
        <v>75</v>
      </c>
      <c r="D64" s="7">
        <v>12146</v>
      </c>
      <c r="E64" s="8">
        <v>9119</v>
      </c>
      <c r="F64" s="8">
        <v>8905</v>
      </c>
      <c r="G64" s="8">
        <v>214</v>
      </c>
      <c r="H64" s="8">
        <v>42</v>
      </c>
      <c r="I64" s="8">
        <v>615</v>
      </c>
      <c r="J64" s="8">
        <v>10</v>
      </c>
      <c r="K64" s="8">
        <v>23</v>
      </c>
      <c r="L64" s="8">
        <f t="shared" si="12"/>
        <v>9809</v>
      </c>
      <c r="M64" s="8">
        <f t="shared" si="1"/>
        <v>3027</v>
      </c>
      <c r="N64" s="9">
        <f t="shared" si="2"/>
        <v>24.921784949777702</v>
      </c>
      <c r="O64" s="8">
        <f t="shared" si="3"/>
        <v>2337</v>
      </c>
      <c r="P64" s="9">
        <f t="shared" si="4"/>
        <v>19.240902354684668</v>
      </c>
    </row>
    <row r="65" spans="1:16" ht="13.2" x14ac:dyDescent="0.25">
      <c r="A65" s="5">
        <v>58</v>
      </c>
      <c r="B65" s="6" t="s">
        <v>70</v>
      </c>
      <c r="C65" s="6" t="s">
        <v>76</v>
      </c>
      <c r="D65" s="7">
        <v>8243</v>
      </c>
      <c r="E65" s="8">
        <v>6371</v>
      </c>
      <c r="F65" s="8">
        <v>6212</v>
      </c>
      <c r="G65" s="8">
        <v>159</v>
      </c>
      <c r="H65" s="8">
        <v>37</v>
      </c>
      <c r="I65" s="8">
        <v>341</v>
      </c>
      <c r="J65" s="8">
        <v>21</v>
      </c>
      <c r="K65" s="8">
        <v>3</v>
      </c>
      <c r="L65" s="8">
        <f t="shared" si="12"/>
        <v>6773</v>
      </c>
      <c r="M65" s="8">
        <f t="shared" si="1"/>
        <v>1872</v>
      </c>
      <c r="N65" s="9">
        <f t="shared" si="2"/>
        <v>22.710178333131143</v>
      </c>
      <c r="O65" s="8">
        <f t="shared" si="3"/>
        <v>1470</v>
      </c>
      <c r="P65" s="9">
        <f t="shared" si="4"/>
        <v>17.833313114157466</v>
      </c>
    </row>
    <row r="66" spans="1:16" ht="13.2" x14ac:dyDescent="0.25">
      <c r="A66" s="5">
        <v>59</v>
      </c>
      <c r="B66" s="6" t="s">
        <v>70</v>
      </c>
      <c r="C66" s="6" t="s">
        <v>70</v>
      </c>
      <c r="D66" s="7">
        <v>34503</v>
      </c>
      <c r="E66" s="8">
        <v>21766</v>
      </c>
      <c r="F66" s="8">
        <v>21443</v>
      </c>
      <c r="G66" s="8">
        <v>323</v>
      </c>
      <c r="H66" s="8">
        <v>127</v>
      </c>
      <c r="I66" s="8">
        <v>1124</v>
      </c>
      <c r="J66" s="8">
        <v>10</v>
      </c>
      <c r="K66" s="8">
        <v>10</v>
      </c>
      <c r="L66" s="8">
        <f t="shared" si="12"/>
        <v>23037</v>
      </c>
      <c r="M66" s="8">
        <f t="shared" si="1"/>
        <v>12737</v>
      </c>
      <c r="N66" s="9">
        <f t="shared" si="2"/>
        <v>36.915630524881891</v>
      </c>
      <c r="O66" s="8">
        <f t="shared" si="3"/>
        <v>11466</v>
      </c>
      <c r="P66" s="9">
        <f t="shared" si="4"/>
        <v>33.231892878880096</v>
      </c>
    </row>
    <row r="67" spans="1:16" ht="13.2" x14ac:dyDescent="0.25">
      <c r="A67" s="5">
        <v>60</v>
      </c>
      <c r="B67" s="6" t="s">
        <v>70</v>
      </c>
      <c r="C67" s="6" t="s">
        <v>77</v>
      </c>
      <c r="D67" s="7">
        <v>18474</v>
      </c>
      <c r="E67" s="8">
        <v>12563</v>
      </c>
      <c r="F67" s="8">
        <v>12085</v>
      </c>
      <c r="G67" s="8">
        <v>478</v>
      </c>
      <c r="H67" s="8">
        <v>106</v>
      </c>
      <c r="I67" s="8">
        <v>638</v>
      </c>
      <c r="J67" s="8">
        <v>9</v>
      </c>
      <c r="K67" s="8">
        <v>7</v>
      </c>
      <c r="L67" s="8">
        <f t="shared" si="12"/>
        <v>13323</v>
      </c>
      <c r="M67" s="8">
        <f t="shared" si="1"/>
        <v>5911</v>
      </c>
      <c r="N67" s="9">
        <f t="shared" si="2"/>
        <v>31.996319151239579</v>
      </c>
      <c r="O67" s="8">
        <f t="shared" si="3"/>
        <v>5151</v>
      </c>
      <c r="P67" s="9">
        <f t="shared" si="4"/>
        <v>27.882429360181877</v>
      </c>
    </row>
    <row r="68" spans="1:16" ht="13.2" x14ac:dyDescent="0.25">
      <c r="A68" s="5">
        <v>61</v>
      </c>
      <c r="B68" s="6" t="s">
        <v>70</v>
      </c>
      <c r="C68" s="6" t="s">
        <v>78</v>
      </c>
      <c r="D68" s="7">
        <v>8755</v>
      </c>
      <c r="E68" s="8">
        <v>7006</v>
      </c>
      <c r="F68" s="8">
        <v>6823</v>
      </c>
      <c r="G68" s="8">
        <v>183</v>
      </c>
      <c r="H68" s="8">
        <v>46</v>
      </c>
      <c r="I68" s="8">
        <v>408</v>
      </c>
      <c r="J68" s="8">
        <v>4</v>
      </c>
      <c r="K68" s="8">
        <v>2</v>
      </c>
      <c r="L68" s="8">
        <f t="shared" si="12"/>
        <v>7466</v>
      </c>
      <c r="M68" s="8">
        <f t="shared" si="1"/>
        <v>1749</v>
      </c>
      <c r="N68" s="9">
        <f t="shared" si="2"/>
        <v>19.977155910908053</v>
      </c>
      <c r="O68" s="8">
        <f t="shared" si="3"/>
        <v>1289</v>
      </c>
      <c r="P68" s="9">
        <f t="shared" si="4"/>
        <v>14.723015419760138</v>
      </c>
    </row>
    <row r="69" spans="1:16" ht="13.2" x14ac:dyDescent="0.25">
      <c r="A69" s="5">
        <v>62</v>
      </c>
      <c r="B69" s="6" t="s">
        <v>70</v>
      </c>
      <c r="C69" s="6" t="s">
        <v>79</v>
      </c>
      <c r="D69" s="7">
        <v>21048</v>
      </c>
      <c r="E69" s="8">
        <v>17908</v>
      </c>
      <c r="F69" s="8">
        <v>17498</v>
      </c>
      <c r="G69" s="8">
        <v>410</v>
      </c>
      <c r="H69" s="8">
        <v>147</v>
      </c>
      <c r="I69" s="8">
        <v>855</v>
      </c>
      <c r="J69" s="8">
        <v>30</v>
      </c>
      <c r="K69" s="8">
        <v>22</v>
      </c>
      <c r="L69" s="8">
        <f t="shared" si="12"/>
        <v>18962</v>
      </c>
      <c r="M69" s="8">
        <f t="shared" si="1"/>
        <v>3140</v>
      </c>
      <c r="N69" s="9">
        <f t="shared" si="2"/>
        <v>14.918282022044849</v>
      </c>
      <c r="O69" s="8">
        <f t="shared" si="3"/>
        <v>2086</v>
      </c>
      <c r="P69" s="9">
        <f t="shared" si="4"/>
        <v>9.9106803496769285</v>
      </c>
    </row>
    <row r="70" spans="1:16" ht="13.2" x14ac:dyDescent="0.25">
      <c r="A70" s="5">
        <v>63</v>
      </c>
      <c r="B70" s="6" t="s">
        <v>70</v>
      </c>
      <c r="C70" s="6" t="s">
        <v>80</v>
      </c>
      <c r="D70" s="7">
        <v>11227</v>
      </c>
      <c r="E70" s="8">
        <v>9122</v>
      </c>
      <c r="F70" s="8">
        <v>8783</v>
      </c>
      <c r="G70" s="8">
        <v>339</v>
      </c>
      <c r="H70" s="8">
        <v>118</v>
      </c>
      <c r="I70" s="8">
        <v>479</v>
      </c>
      <c r="J70" s="8">
        <v>5</v>
      </c>
      <c r="K70" s="8">
        <v>6</v>
      </c>
      <c r="L70" s="8">
        <f t="shared" si="12"/>
        <v>9730</v>
      </c>
      <c r="M70" s="8">
        <f t="shared" si="1"/>
        <v>2105</v>
      </c>
      <c r="N70" s="9">
        <f t="shared" si="2"/>
        <v>18.749443306315133</v>
      </c>
      <c r="O70" s="8">
        <f t="shared" si="3"/>
        <v>1497</v>
      </c>
      <c r="P70" s="9">
        <f t="shared" si="4"/>
        <v>13.333927139930523</v>
      </c>
    </row>
    <row r="71" spans="1:16" ht="13.2" x14ac:dyDescent="0.25">
      <c r="A71" s="5">
        <v>64</v>
      </c>
      <c r="B71" s="6" t="s">
        <v>70</v>
      </c>
      <c r="C71" s="6" t="s">
        <v>81</v>
      </c>
      <c r="D71" s="7">
        <v>8860</v>
      </c>
      <c r="E71" s="8">
        <v>7372</v>
      </c>
      <c r="F71" s="8">
        <v>7163</v>
      </c>
      <c r="G71" s="8">
        <v>209</v>
      </c>
      <c r="H71" s="8">
        <v>73</v>
      </c>
      <c r="I71" s="8">
        <v>459</v>
      </c>
      <c r="J71" s="8">
        <v>11</v>
      </c>
      <c r="K71" s="8">
        <v>5</v>
      </c>
      <c r="L71" s="8">
        <f t="shared" si="12"/>
        <v>7920</v>
      </c>
      <c r="M71" s="8">
        <f t="shared" si="1"/>
        <v>1488</v>
      </c>
      <c r="N71" s="9">
        <f t="shared" si="2"/>
        <v>16.794582392776526</v>
      </c>
      <c r="O71" s="8">
        <f t="shared" si="3"/>
        <v>940</v>
      </c>
      <c r="P71" s="9">
        <f t="shared" si="4"/>
        <v>10.609480812641085</v>
      </c>
    </row>
    <row r="72" spans="1:16" ht="13.8" x14ac:dyDescent="0.25">
      <c r="A72" s="25" t="s">
        <v>24</v>
      </c>
      <c r="B72" s="20"/>
      <c r="C72" s="21"/>
      <c r="D72" s="10">
        <f t="shared" ref="D72:L72" si="13">SUM(D60:D71)</f>
        <v>184371</v>
      </c>
      <c r="E72" s="10">
        <f t="shared" si="13"/>
        <v>136391</v>
      </c>
      <c r="F72" s="10">
        <f t="shared" si="13"/>
        <v>132859</v>
      </c>
      <c r="G72" s="10">
        <f t="shared" si="13"/>
        <v>3532</v>
      </c>
      <c r="H72" s="10">
        <f t="shared" si="13"/>
        <v>1025</v>
      </c>
      <c r="I72" s="10">
        <f t="shared" si="13"/>
        <v>7681</v>
      </c>
      <c r="J72" s="10">
        <f t="shared" si="13"/>
        <v>145</v>
      </c>
      <c r="K72" s="10">
        <f t="shared" si="13"/>
        <v>116</v>
      </c>
      <c r="L72" s="10">
        <f t="shared" si="13"/>
        <v>145358</v>
      </c>
      <c r="M72" s="11">
        <f t="shared" si="1"/>
        <v>47980</v>
      </c>
      <c r="N72" s="12">
        <f t="shared" si="2"/>
        <v>26.023615427588936</v>
      </c>
      <c r="O72" s="11">
        <f t="shared" si="3"/>
        <v>39013</v>
      </c>
      <c r="P72" s="12">
        <f t="shared" si="4"/>
        <v>21.160052285880102</v>
      </c>
    </row>
    <row r="73" spans="1:16" ht="13.2" x14ac:dyDescent="0.25">
      <c r="A73" s="5">
        <v>65</v>
      </c>
      <c r="B73" s="6" t="s">
        <v>82</v>
      </c>
      <c r="C73" s="6" t="s">
        <v>83</v>
      </c>
      <c r="D73" s="7">
        <v>15600</v>
      </c>
      <c r="E73" s="8">
        <v>12841</v>
      </c>
      <c r="F73" s="8">
        <v>12668</v>
      </c>
      <c r="G73" s="8">
        <v>173</v>
      </c>
      <c r="H73" s="8">
        <v>106</v>
      </c>
      <c r="I73" s="8">
        <v>544</v>
      </c>
      <c r="J73" s="8">
        <v>20</v>
      </c>
      <c r="K73" s="8">
        <v>11</v>
      </c>
      <c r="L73" s="8">
        <f t="shared" ref="L73:L77" si="14">SUM(F73:K73)</f>
        <v>13522</v>
      </c>
      <c r="M73" s="8">
        <f t="shared" si="1"/>
        <v>2759</v>
      </c>
      <c r="N73" s="9">
        <f t="shared" si="2"/>
        <v>17.685897435897434</v>
      </c>
      <c r="O73" s="8">
        <f t="shared" si="3"/>
        <v>2078</v>
      </c>
      <c r="P73" s="9">
        <f t="shared" si="4"/>
        <v>13.320512820512819</v>
      </c>
    </row>
    <row r="74" spans="1:16" ht="13.2" x14ac:dyDescent="0.25">
      <c r="A74" s="5">
        <v>66</v>
      </c>
      <c r="B74" s="6" t="s">
        <v>82</v>
      </c>
      <c r="C74" s="6" t="s">
        <v>84</v>
      </c>
      <c r="D74" s="7">
        <v>31000</v>
      </c>
      <c r="E74" s="8">
        <v>23522</v>
      </c>
      <c r="F74" s="8">
        <v>23159</v>
      </c>
      <c r="G74" s="8">
        <v>363</v>
      </c>
      <c r="H74" s="8">
        <v>188</v>
      </c>
      <c r="I74" s="8">
        <v>1776</v>
      </c>
      <c r="J74" s="8">
        <v>41</v>
      </c>
      <c r="K74" s="8">
        <v>23</v>
      </c>
      <c r="L74" s="8">
        <f t="shared" si="14"/>
        <v>25550</v>
      </c>
      <c r="M74" s="8">
        <f t="shared" si="1"/>
        <v>7478</v>
      </c>
      <c r="N74" s="9">
        <f t="shared" si="2"/>
        <v>24.122580645161289</v>
      </c>
      <c r="O74" s="8">
        <f t="shared" si="3"/>
        <v>5450</v>
      </c>
      <c r="P74" s="9">
        <f t="shared" si="4"/>
        <v>17.580645161290324</v>
      </c>
    </row>
    <row r="75" spans="1:16" ht="13.2" x14ac:dyDescent="0.25">
      <c r="A75" s="5">
        <v>67</v>
      </c>
      <c r="B75" s="6" t="s">
        <v>82</v>
      </c>
      <c r="C75" s="6" t="s">
        <v>85</v>
      </c>
      <c r="D75" s="7">
        <v>30600</v>
      </c>
      <c r="E75" s="8">
        <v>25367</v>
      </c>
      <c r="F75" s="8">
        <v>24983</v>
      </c>
      <c r="G75" s="8">
        <v>384</v>
      </c>
      <c r="H75" s="8">
        <v>157</v>
      </c>
      <c r="I75" s="8">
        <v>2261</v>
      </c>
      <c r="J75" s="8">
        <v>45</v>
      </c>
      <c r="K75" s="8">
        <v>13</v>
      </c>
      <c r="L75" s="8">
        <f t="shared" si="14"/>
        <v>27843</v>
      </c>
      <c r="M75" s="8">
        <f t="shared" si="1"/>
        <v>5233</v>
      </c>
      <c r="N75" s="9">
        <f t="shared" si="2"/>
        <v>17.101307189542485</v>
      </c>
      <c r="O75" s="8">
        <f t="shared" si="3"/>
        <v>2757</v>
      </c>
      <c r="P75" s="9">
        <f t="shared" si="4"/>
        <v>9.0098039215686274</v>
      </c>
    </row>
    <row r="76" spans="1:16" ht="13.2" x14ac:dyDescent="0.25">
      <c r="A76" s="5">
        <v>68</v>
      </c>
      <c r="B76" s="6" t="s">
        <v>82</v>
      </c>
      <c r="C76" s="6" t="s">
        <v>86</v>
      </c>
      <c r="D76" s="7">
        <v>38800</v>
      </c>
      <c r="E76" s="8">
        <v>29231</v>
      </c>
      <c r="F76" s="8">
        <v>28761</v>
      </c>
      <c r="G76" s="8">
        <v>470</v>
      </c>
      <c r="H76" s="8">
        <v>186</v>
      </c>
      <c r="I76" s="8">
        <v>1141</v>
      </c>
      <c r="J76" s="8">
        <v>28</v>
      </c>
      <c r="K76" s="8">
        <v>13</v>
      </c>
      <c r="L76" s="8">
        <f t="shared" si="14"/>
        <v>30599</v>
      </c>
      <c r="M76" s="8">
        <f t="shared" si="1"/>
        <v>9569</v>
      </c>
      <c r="N76" s="9">
        <f t="shared" si="2"/>
        <v>24.662371134020621</v>
      </c>
      <c r="O76" s="8">
        <f t="shared" si="3"/>
        <v>8201</v>
      </c>
      <c r="P76" s="9">
        <f t="shared" si="4"/>
        <v>21.13659793814433</v>
      </c>
    </row>
    <row r="77" spans="1:16" ht="13.2" x14ac:dyDescent="0.25">
      <c r="A77" s="5">
        <v>69</v>
      </c>
      <c r="B77" s="6" t="s">
        <v>82</v>
      </c>
      <c r="C77" s="6" t="s">
        <v>87</v>
      </c>
      <c r="D77" s="7">
        <v>29900</v>
      </c>
      <c r="E77" s="8">
        <v>23799</v>
      </c>
      <c r="F77" s="8">
        <v>23509</v>
      </c>
      <c r="G77" s="8">
        <v>290</v>
      </c>
      <c r="H77" s="8">
        <v>188</v>
      </c>
      <c r="I77" s="8">
        <v>1464</v>
      </c>
      <c r="J77" s="8">
        <v>49</v>
      </c>
      <c r="K77" s="8">
        <v>13</v>
      </c>
      <c r="L77" s="8">
        <f t="shared" si="14"/>
        <v>25513</v>
      </c>
      <c r="M77" s="8">
        <f t="shared" si="1"/>
        <v>6101</v>
      </c>
      <c r="N77" s="9">
        <f t="shared" si="2"/>
        <v>20.404682274247492</v>
      </c>
      <c r="O77" s="8">
        <f t="shared" si="3"/>
        <v>4387</v>
      </c>
      <c r="P77" s="9">
        <f t="shared" si="4"/>
        <v>14.672240802675585</v>
      </c>
    </row>
    <row r="78" spans="1:16" ht="15.75" customHeight="1" x14ac:dyDescent="0.3">
      <c r="A78" s="19" t="s">
        <v>24</v>
      </c>
      <c r="B78" s="20"/>
      <c r="C78" s="21"/>
      <c r="D78" s="10">
        <f t="shared" ref="D78:L78" si="15">SUM(D73:D77)</f>
        <v>145900</v>
      </c>
      <c r="E78" s="10">
        <f t="shared" si="15"/>
        <v>114760</v>
      </c>
      <c r="F78" s="10">
        <f t="shared" si="15"/>
        <v>113080</v>
      </c>
      <c r="G78" s="10">
        <f t="shared" si="15"/>
        <v>1680</v>
      </c>
      <c r="H78" s="10">
        <f t="shared" si="15"/>
        <v>825</v>
      </c>
      <c r="I78" s="10">
        <f t="shared" si="15"/>
        <v>7186</v>
      </c>
      <c r="J78" s="10">
        <f t="shared" si="15"/>
        <v>183</v>
      </c>
      <c r="K78" s="10">
        <f t="shared" si="15"/>
        <v>73</v>
      </c>
      <c r="L78" s="10">
        <f t="shared" si="15"/>
        <v>123027</v>
      </c>
      <c r="M78" s="11">
        <f t="shared" si="1"/>
        <v>31140</v>
      </c>
      <c r="N78" s="12">
        <f t="shared" si="2"/>
        <v>21.343385880740236</v>
      </c>
      <c r="O78" s="11">
        <f t="shared" si="3"/>
        <v>22873</v>
      </c>
      <c r="P78" s="12">
        <f t="shared" si="4"/>
        <v>15.677176148046607</v>
      </c>
    </row>
    <row r="79" spans="1:16" ht="15.75" customHeight="1" x14ac:dyDescent="0.3">
      <c r="A79" s="22" t="s">
        <v>88</v>
      </c>
      <c r="B79" s="20"/>
      <c r="C79" s="21"/>
      <c r="D79" s="13">
        <f>SUM(D12,D29,D47,D59,D72,D78)</f>
        <v>1480224</v>
      </c>
      <c r="E79" s="10">
        <f t="shared" ref="E79:L79" si="16">E78+E72+E59+E47+E29+E12</f>
        <v>1160114</v>
      </c>
      <c r="F79" s="10">
        <f t="shared" si="16"/>
        <v>1140034</v>
      </c>
      <c r="G79" s="10">
        <f t="shared" si="16"/>
        <v>20080</v>
      </c>
      <c r="H79" s="10">
        <f t="shared" si="16"/>
        <v>10673</v>
      </c>
      <c r="I79" s="10">
        <f t="shared" si="16"/>
        <v>70733</v>
      </c>
      <c r="J79" s="10">
        <f t="shared" si="16"/>
        <v>5663</v>
      </c>
      <c r="K79" s="10">
        <f t="shared" si="16"/>
        <v>2140</v>
      </c>
      <c r="L79" s="10">
        <f t="shared" si="16"/>
        <v>1249323</v>
      </c>
      <c r="M79" s="14">
        <f t="shared" si="1"/>
        <v>320110</v>
      </c>
      <c r="N79" s="15">
        <f t="shared" si="2"/>
        <v>21.625780962881294</v>
      </c>
      <c r="O79" s="14">
        <f t="shared" si="3"/>
        <v>230901</v>
      </c>
      <c r="P79" s="15">
        <f t="shared" si="4"/>
        <v>15.599057980413775</v>
      </c>
    </row>
    <row r="80" spans="1:16" ht="13.2" x14ac:dyDescent="0.25">
      <c r="A80" s="1"/>
    </row>
    <row r="81" spans="1:3" ht="13.2" x14ac:dyDescent="0.25">
      <c r="A81" s="1"/>
      <c r="B81" s="16" t="s">
        <v>89</v>
      </c>
    </row>
    <row r="82" spans="1:3" ht="13.2" x14ac:dyDescent="0.25">
      <c r="A82" s="1"/>
      <c r="B82" s="17"/>
      <c r="C82" s="16" t="s">
        <v>90</v>
      </c>
    </row>
    <row r="83" spans="1:3" ht="13.2" x14ac:dyDescent="0.25">
      <c r="A83" s="1"/>
      <c r="B83" s="18"/>
      <c r="C83" s="16" t="s">
        <v>91</v>
      </c>
    </row>
    <row r="84" spans="1:3" ht="13.2" x14ac:dyDescent="0.25">
      <c r="A84" s="1"/>
    </row>
    <row r="85" spans="1:3" ht="13.2" x14ac:dyDescent="0.25">
      <c r="A85" s="1"/>
    </row>
    <row r="86" spans="1:3" ht="13.2" x14ac:dyDescent="0.25">
      <c r="A86" s="1"/>
    </row>
    <row r="87" spans="1:3" ht="13.2" x14ac:dyDescent="0.25">
      <c r="A87" s="1"/>
    </row>
    <row r="88" spans="1:3" ht="13.2" x14ac:dyDescent="0.25">
      <c r="A88" s="1"/>
    </row>
    <row r="89" spans="1:3" ht="13.2" x14ac:dyDescent="0.25">
      <c r="A89" s="1"/>
    </row>
    <row r="90" spans="1:3" ht="13.2" x14ac:dyDescent="0.25">
      <c r="A90" s="1"/>
    </row>
    <row r="91" spans="1:3" ht="13.2" x14ac:dyDescent="0.25">
      <c r="A91" s="1"/>
    </row>
    <row r="92" spans="1:3" ht="13.2" x14ac:dyDescent="0.25">
      <c r="A92" s="1"/>
    </row>
    <row r="93" spans="1:3" ht="13.2" x14ac:dyDescent="0.25">
      <c r="A93" s="1"/>
    </row>
    <row r="94" spans="1:3" ht="13.2" x14ac:dyDescent="0.25">
      <c r="A94" s="1"/>
    </row>
    <row r="95" spans="1:3" ht="13.2" x14ac:dyDescent="0.25">
      <c r="A95" s="1"/>
    </row>
    <row r="96" spans="1:3" ht="13.2" x14ac:dyDescent="0.25">
      <c r="A96" s="1"/>
    </row>
    <row r="97" spans="1:1" ht="13.2" x14ac:dyDescent="0.25">
      <c r="A97" s="1"/>
    </row>
    <row r="98" spans="1:1" ht="13.2" x14ac:dyDescent="0.25">
      <c r="A98" s="1"/>
    </row>
    <row r="99" spans="1:1" ht="13.2" x14ac:dyDescent="0.25">
      <c r="A99" s="1"/>
    </row>
    <row r="100" spans="1:1" ht="13.2" x14ac:dyDescent="0.25">
      <c r="A100" s="1"/>
    </row>
    <row r="101" spans="1:1" ht="13.2" x14ac:dyDescent="0.25">
      <c r="A101" s="1"/>
    </row>
    <row r="102" spans="1:1" ht="13.2" x14ac:dyDescent="0.25">
      <c r="A102" s="1"/>
    </row>
    <row r="103" spans="1:1" ht="13.2" x14ac:dyDescent="0.25">
      <c r="A103" s="1"/>
    </row>
    <row r="104" spans="1:1" ht="13.2" x14ac:dyDescent="0.25">
      <c r="A104" s="1"/>
    </row>
    <row r="105" spans="1:1" ht="13.2" x14ac:dyDescent="0.25">
      <c r="A105" s="1"/>
    </row>
    <row r="106" spans="1:1" ht="13.2" x14ac:dyDescent="0.25">
      <c r="A106" s="1"/>
    </row>
    <row r="107" spans="1:1" ht="13.2" x14ac:dyDescent="0.25">
      <c r="A107" s="1"/>
    </row>
    <row r="108" spans="1:1" ht="13.2" x14ac:dyDescent="0.25">
      <c r="A108" s="1"/>
    </row>
    <row r="109" spans="1:1" ht="13.2" x14ac:dyDescent="0.25">
      <c r="A109" s="1"/>
    </row>
    <row r="110" spans="1:1" ht="13.2" x14ac:dyDescent="0.25">
      <c r="A110" s="1"/>
    </row>
    <row r="111" spans="1:1" ht="13.2" x14ac:dyDescent="0.25">
      <c r="A111" s="1"/>
    </row>
    <row r="112" spans="1:1" ht="13.2" x14ac:dyDescent="0.25">
      <c r="A112" s="1"/>
    </row>
    <row r="113" spans="1:1" ht="13.2" x14ac:dyDescent="0.25">
      <c r="A113" s="1"/>
    </row>
    <row r="114" spans="1:1" ht="13.2" x14ac:dyDescent="0.25">
      <c r="A114" s="1"/>
    </row>
    <row r="115" spans="1:1" ht="13.2" x14ac:dyDescent="0.25">
      <c r="A115" s="1"/>
    </row>
    <row r="116" spans="1:1" ht="13.2" x14ac:dyDescent="0.25">
      <c r="A116" s="1"/>
    </row>
    <row r="117" spans="1:1" ht="13.2" x14ac:dyDescent="0.25">
      <c r="A117" s="1"/>
    </row>
    <row r="118" spans="1:1" ht="13.2" x14ac:dyDescent="0.25">
      <c r="A118" s="1"/>
    </row>
    <row r="119" spans="1:1" ht="13.2" x14ac:dyDescent="0.25">
      <c r="A119" s="1"/>
    </row>
    <row r="120" spans="1:1" ht="13.2" x14ac:dyDescent="0.25">
      <c r="A120" s="1"/>
    </row>
    <row r="121" spans="1:1" ht="13.2" x14ac:dyDescent="0.25">
      <c r="A121" s="1"/>
    </row>
    <row r="122" spans="1:1" ht="13.2" x14ac:dyDescent="0.25">
      <c r="A122" s="1"/>
    </row>
    <row r="123" spans="1:1" ht="13.2" x14ac:dyDescent="0.25">
      <c r="A123" s="1"/>
    </row>
    <row r="124" spans="1:1" ht="13.2" x14ac:dyDescent="0.25">
      <c r="A124" s="1"/>
    </row>
    <row r="125" spans="1:1" ht="13.2" x14ac:dyDescent="0.25">
      <c r="A125" s="1"/>
    </row>
    <row r="126" spans="1:1" ht="13.2" x14ac:dyDescent="0.25">
      <c r="A126" s="1"/>
    </row>
    <row r="127" spans="1:1" ht="13.2" x14ac:dyDescent="0.25">
      <c r="A127" s="1"/>
    </row>
    <row r="128" spans="1:1" ht="13.2" x14ac:dyDescent="0.25">
      <c r="A128" s="1"/>
    </row>
    <row r="129" spans="1:1" ht="13.2" x14ac:dyDescent="0.25">
      <c r="A129" s="1"/>
    </row>
    <row r="130" spans="1:1" ht="13.2" x14ac:dyDescent="0.25">
      <c r="A130" s="1"/>
    </row>
    <row r="131" spans="1:1" ht="13.2" x14ac:dyDescent="0.25">
      <c r="A131" s="1"/>
    </row>
    <row r="132" spans="1:1" ht="13.2" x14ac:dyDescent="0.25">
      <c r="A132" s="1"/>
    </row>
    <row r="133" spans="1:1" ht="13.2" x14ac:dyDescent="0.25">
      <c r="A133" s="1"/>
    </row>
    <row r="134" spans="1:1" ht="13.2" x14ac:dyDescent="0.25">
      <c r="A134" s="1"/>
    </row>
    <row r="135" spans="1:1" ht="13.2" x14ac:dyDescent="0.25">
      <c r="A135" s="1"/>
    </row>
    <row r="136" spans="1:1" ht="13.2" x14ac:dyDescent="0.25">
      <c r="A136" s="1"/>
    </row>
    <row r="137" spans="1:1" ht="13.2" x14ac:dyDescent="0.25">
      <c r="A137" s="1"/>
    </row>
    <row r="138" spans="1:1" ht="13.2" x14ac:dyDescent="0.25">
      <c r="A138" s="1"/>
    </row>
    <row r="139" spans="1:1" ht="13.2" x14ac:dyDescent="0.25">
      <c r="A139" s="1"/>
    </row>
    <row r="140" spans="1:1" ht="13.2" x14ac:dyDescent="0.25">
      <c r="A140" s="1"/>
    </row>
    <row r="141" spans="1:1" ht="13.2" x14ac:dyDescent="0.25">
      <c r="A141" s="1"/>
    </row>
    <row r="142" spans="1:1" ht="13.2" x14ac:dyDescent="0.25">
      <c r="A142" s="1"/>
    </row>
    <row r="143" spans="1:1" ht="13.2" x14ac:dyDescent="0.25">
      <c r="A143" s="1"/>
    </row>
    <row r="144" spans="1:1" ht="13.2" x14ac:dyDescent="0.25">
      <c r="A144" s="1"/>
    </row>
    <row r="145" spans="1:1" ht="13.2" x14ac:dyDescent="0.25">
      <c r="A145" s="1"/>
    </row>
    <row r="146" spans="1:1" ht="13.2" x14ac:dyDescent="0.25">
      <c r="A146" s="1"/>
    </row>
    <row r="147" spans="1:1" ht="13.2" x14ac:dyDescent="0.25">
      <c r="A147" s="1"/>
    </row>
    <row r="148" spans="1:1" ht="13.2" x14ac:dyDescent="0.25">
      <c r="A148" s="1"/>
    </row>
    <row r="149" spans="1:1" ht="13.2" x14ac:dyDescent="0.25">
      <c r="A149" s="1"/>
    </row>
    <row r="150" spans="1:1" ht="13.2" x14ac:dyDescent="0.25">
      <c r="A150" s="1"/>
    </row>
    <row r="151" spans="1:1" ht="13.2" x14ac:dyDescent="0.25">
      <c r="A151" s="1"/>
    </row>
    <row r="152" spans="1:1" ht="13.2" x14ac:dyDescent="0.25">
      <c r="A152" s="1"/>
    </row>
    <row r="153" spans="1:1" ht="13.2" x14ac:dyDescent="0.25">
      <c r="A153" s="1"/>
    </row>
    <row r="154" spans="1:1" ht="13.2" x14ac:dyDescent="0.25">
      <c r="A154" s="1"/>
    </row>
    <row r="155" spans="1:1" ht="13.2" x14ac:dyDescent="0.25">
      <c r="A155" s="1"/>
    </row>
    <row r="156" spans="1:1" ht="13.2" x14ac:dyDescent="0.25">
      <c r="A156" s="1"/>
    </row>
    <row r="157" spans="1:1" ht="13.2" x14ac:dyDescent="0.25">
      <c r="A157" s="1"/>
    </row>
    <row r="158" spans="1:1" ht="13.2" x14ac:dyDescent="0.25">
      <c r="A158" s="1"/>
    </row>
    <row r="159" spans="1:1" ht="13.2" x14ac:dyDescent="0.25">
      <c r="A159" s="1"/>
    </row>
    <row r="160" spans="1:1" ht="13.2" x14ac:dyDescent="0.25">
      <c r="A160" s="1"/>
    </row>
    <row r="161" spans="1:1" ht="13.2" x14ac:dyDescent="0.25">
      <c r="A161" s="1"/>
    </row>
    <row r="162" spans="1:1" ht="13.2" x14ac:dyDescent="0.25">
      <c r="A162" s="1"/>
    </row>
    <row r="163" spans="1:1" ht="13.2" x14ac:dyDescent="0.25">
      <c r="A163" s="1"/>
    </row>
    <row r="164" spans="1:1" ht="13.2" x14ac:dyDescent="0.25">
      <c r="A164" s="1"/>
    </row>
    <row r="165" spans="1:1" ht="13.2" x14ac:dyDescent="0.25">
      <c r="A165" s="1"/>
    </row>
    <row r="166" spans="1:1" ht="13.2" x14ac:dyDescent="0.25">
      <c r="A166" s="1"/>
    </row>
    <row r="167" spans="1:1" ht="13.2" x14ac:dyDescent="0.25">
      <c r="A167" s="1"/>
    </row>
    <row r="168" spans="1:1" ht="13.2" x14ac:dyDescent="0.25">
      <c r="A168" s="1"/>
    </row>
    <row r="169" spans="1:1" ht="13.2" x14ac:dyDescent="0.25">
      <c r="A169" s="1"/>
    </row>
    <row r="170" spans="1:1" ht="13.2" x14ac:dyDescent="0.25">
      <c r="A170" s="1"/>
    </row>
    <row r="171" spans="1:1" ht="13.2" x14ac:dyDescent="0.25">
      <c r="A171" s="1"/>
    </row>
    <row r="172" spans="1:1" ht="13.2" x14ac:dyDescent="0.25">
      <c r="A172" s="1"/>
    </row>
    <row r="173" spans="1:1" ht="13.2" x14ac:dyDescent="0.25">
      <c r="A173" s="1"/>
    </row>
    <row r="174" spans="1:1" ht="13.2" x14ac:dyDescent="0.25">
      <c r="A174" s="1"/>
    </row>
    <row r="175" spans="1:1" ht="13.2" x14ac:dyDescent="0.25">
      <c r="A175" s="1"/>
    </row>
    <row r="176" spans="1:1" ht="13.2" x14ac:dyDescent="0.25">
      <c r="A176" s="1"/>
    </row>
    <row r="177" spans="1:1" ht="13.2" x14ac:dyDescent="0.25">
      <c r="A177" s="1"/>
    </row>
    <row r="178" spans="1:1" ht="13.2" x14ac:dyDescent="0.25">
      <c r="A178" s="1"/>
    </row>
    <row r="179" spans="1:1" ht="13.2" x14ac:dyDescent="0.25">
      <c r="A179" s="1"/>
    </row>
    <row r="180" spans="1:1" ht="13.2" x14ac:dyDescent="0.25">
      <c r="A180" s="1"/>
    </row>
    <row r="181" spans="1:1" ht="13.2" x14ac:dyDescent="0.25">
      <c r="A181" s="1"/>
    </row>
    <row r="182" spans="1:1" ht="13.2" x14ac:dyDescent="0.25">
      <c r="A182" s="1"/>
    </row>
    <row r="183" spans="1:1" ht="13.2" x14ac:dyDescent="0.25">
      <c r="A183" s="1"/>
    </row>
    <row r="184" spans="1:1" ht="13.2" x14ac:dyDescent="0.25">
      <c r="A184" s="1"/>
    </row>
    <row r="185" spans="1:1" ht="13.2" x14ac:dyDescent="0.25">
      <c r="A185" s="1"/>
    </row>
    <row r="186" spans="1:1" ht="13.2" x14ac:dyDescent="0.25">
      <c r="A186" s="1"/>
    </row>
    <row r="187" spans="1:1" ht="13.2" x14ac:dyDescent="0.25">
      <c r="A187" s="1"/>
    </row>
    <row r="188" spans="1:1" ht="13.2" x14ac:dyDescent="0.25">
      <c r="A188" s="1"/>
    </row>
    <row r="189" spans="1:1" ht="13.2" x14ac:dyDescent="0.25">
      <c r="A189" s="1"/>
    </row>
    <row r="190" spans="1:1" ht="13.2" x14ac:dyDescent="0.25">
      <c r="A190" s="1"/>
    </row>
    <row r="191" spans="1:1" ht="13.2" x14ac:dyDescent="0.25">
      <c r="A191" s="1"/>
    </row>
    <row r="192" spans="1:1" ht="13.2" x14ac:dyDescent="0.25">
      <c r="A192" s="1"/>
    </row>
    <row r="193" spans="1:1" ht="13.2" x14ac:dyDescent="0.25">
      <c r="A193" s="1"/>
    </row>
    <row r="194" spans="1:1" ht="13.2" x14ac:dyDescent="0.25">
      <c r="A194" s="1"/>
    </row>
    <row r="195" spans="1:1" ht="13.2" x14ac:dyDescent="0.25">
      <c r="A195" s="1"/>
    </row>
    <row r="196" spans="1:1" ht="13.2" x14ac:dyDescent="0.25">
      <c r="A196" s="1"/>
    </row>
    <row r="197" spans="1:1" ht="13.2" x14ac:dyDescent="0.25">
      <c r="A197" s="1"/>
    </row>
    <row r="198" spans="1:1" ht="13.2" x14ac:dyDescent="0.25">
      <c r="A198" s="1"/>
    </row>
    <row r="199" spans="1:1" ht="13.2" x14ac:dyDescent="0.25">
      <c r="A199" s="1"/>
    </row>
    <row r="200" spans="1:1" ht="13.2" x14ac:dyDescent="0.25">
      <c r="A200" s="1"/>
    </row>
    <row r="201" spans="1:1" ht="13.2" x14ac:dyDescent="0.25">
      <c r="A201" s="1"/>
    </row>
    <row r="202" spans="1:1" ht="13.2" x14ac:dyDescent="0.25">
      <c r="A202" s="1"/>
    </row>
    <row r="203" spans="1:1" ht="13.2" x14ac:dyDescent="0.25">
      <c r="A203" s="1"/>
    </row>
    <row r="204" spans="1:1" ht="13.2" x14ac:dyDescent="0.25">
      <c r="A204" s="1"/>
    </row>
    <row r="205" spans="1:1" ht="13.2" x14ac:dyDescent="0.25">
      <c r="A205" s="1"/>
    </row>
    <row r="206" spans="1:1" ht="13.2" x14ac:dyDescent="0.25">
      <c r="A206" s="1"/>
    </row>
    <row r="207" spans="1:1" ht="13.2" x14ac:dyDescent="0.25">
      <c r="A207" s="1"/>
    </row>
    <row r="208" spans="1:1" ht="13.2" x14ac:dyDescent="0.25">
      <c r="A208" s="1"/>
    </row>
    <row r="209" spans="1:1" ht="13.2" x14ac:dyDescent="0.25">
      <c r="A209" s="1"/>
    </row>
    <row r="210" spans="1:1" ht="13.2" x14ac:dyDescent="0.25">
      <c r="A210" s="1"/>
    </row>
    <row r="211" spans="1:1" ht="13.2" x14ac:dyDescent="0.25">
      <c r="A211" s="1"/>
    </row>
    <row r="212" spans="1:1" ht="13.2" x14ac:dyDescent="0.25">
      <c r="A212" s="1"/>
    </row>
    <row r="213" spans="1:1" ht="13.2" x14ac:dyDescent="0.25">
      <c r="A213" s="1"/>
    </row>
    <row r="214" spans="1:1" ht="13.2" x14ac:dyDescent="0.25">
      <c r="A214" s="1"/>
    </row>
    <row r="215" spans="1:1" ht="13.2" x14ac:dyDescent="0.25">
      <c r="A215" s="1"/>
    </row>
    <row r="216" spans="1:1" ht="13.2" x14ac:dyDescent="0.25">
      <c r="A216" s="1"/>
    </row>
    <row r="217" spans="1:1" ht="13.2" x14ac:dyDescent="0.25">
      <c r="A217" s="1"/>
    </row>
    <row r="218" spans="1:1" ht="13.2" x14ac:dyDescent="0.25">
      <c r="A218" s="1"/>
    </row>
    <row r="219" spans="1:1" ht="13.2" x14ac:dyDescent="0.25">
      <c r="A219" s="1"/>
    </row>
    <row r="220" spans="1:1" ht="13.2" x14ac:dyDescent="0.25">
      <c r="A220" s="1"/>
    </row>
    <row r="221" spans="1:1" ht="13.2" x14ac:dyDescent="0.25">
      <c r="A221" s="1"/>
    </row>
    <row r="222" spans="1:1" ht="13.2" x14ac:dyDescent="0.25">
      <c r="A222" s="1"/>
    </row>
    <row r="223" spans="1:1" ht="13.2" x14ac:dyDescent="0.25">
      <c r="A223" s="1"/>
    </row>
    <row r="224" spans="1:1" ht="13.2" x14ac:dyDescent="0.25">
      <c r="A224" s="1"/>
    </row>
    <row r="225" spans="1:1" ht="13.2" x14ac:dyDescent="0.25">
      <c r="A225" s="1"/>
    </row>
    <row r="226" spans="1:1" ht="13.2" x14ac:dyDescent="0.25">
      <c r="A226" s="1"/>
    </row>
    <row r="227" spans="1:1" ht="13.2" x14ac:dyDescent="0.25">
      <c r="A227" s="1"/>
    </row>
    <row r="228" spans="1:1" ht="13.2" x14ac:dyDescent="0.25">
      <c r="A228" s="1"/>
    </row>
    <row r="229" spans="1:1" ht="13.2" x14ac:dyDescent="0.25">
      <c r="A229" s="1"/>
    </row>
    <row r="230" spans="1:1" ht="13.2" x14ac:dyDescent="0.25">
      <c r="A230" s="1"/>
    </row>
    <row r="231" spans="1:1" ht="13.2" x14ac:dyDescent="0.25">
      <c r="A231" s="1"/>
    </row>
    <row r="232" spans="1:1" ht="13.2" x14ac:dyDescent="0.25">
      <c r="A232" s="1"/>
    </row>
    <row r="233" spans="1:1" ht="13.2" x14ac:dyDescent="0.25">
      <c r="A233" s="1"/>
    </row>
    <row r="234" spans="1:1" ht="13.2" x14ac:dyDescent="0.25">
      <c r="A234" s="1"/>
    </row>
    <row r="235" spans="1:1" ht="13.2" x14ac:dyDescent="0.25">
      <c r="A235" s="1"/>
    </row>
    <row r="236" spans="1:1" ht="13.2" x14ac:dyDescent="0.25">
      <c r="A236" s="1"/>
    </row>
    <row r="237" spans="1:1" ht="13.2" x14ac:dyDescent="0.25">
      <c r="A237" s="1"/>
    </row>
    <row r="238" spans="1:1" ht="13.2" x14ac:dyDescent="0.25">
      <c r="A238" s="1"/>
    </row>
    <row r="239" spans="1:1" ht="13.2" x14ac:dyDescent="0.25">
      <c r="A239" s="1"/>
    </row>
    <row r="240" spans="1:1" ht="13.2" x14ac:dyDescent="0.25">
      <c r="A240" s="1"/>
    </row>
    <row r="241" spans="1:1" ht="13.2" x14ac:dyDescent="0.25">
      <c r="A241" s="1"/>
    </row>
    <row r="242" spans="1:1" ht="13.2" x14ac:dyDescent="0.25">
      <c r="A242" s="1"/>
    </row>
    <row r="243" spans="1:1" ht="13.2" x14ac:dyDescent="0.25">
      <c r="A243" s="1"/>
    </row>
    <row r="244" spans="1:1" ht="13.2" x14ac:dyDescent="0.25">
      <c r="A244" s="1"/>
    </row>
    <row r="245" spans="1:1" ht="13.2" x14ac:dyDescent="0.25">
      <c r="A245" s="1"/>
    </row>
    <row r="246" spans="1:1" ht="13.2" x14ac:dyDescent="0.25">
      <c r="A246" s="1"/>
    </row>
    <row r="247" spans="1:1" ht="13.2" x14ac:dyDescent="0.25">
      <c r="A247" s="1"/>
    </row>
    <row r="248" spans="1:1" ht="13.2" x14ac:dyDescent="0.25">
      <c r="A248" s="1"/>
    </row>
    <row r="249" spans="1:1" ht="13.2" x14ac:dyDescent="0.25">
      <c r="A249" s="1"/>
    </row>
    <row r="250" spans="1:1" ht="13.2" x14ac:dyDescent="0.25">
      <c r="A250" s="1"/>
    </row>
    <row r="251" spans="1:1" ht="13.2" x14ac:dyDescent="0.25">
      <c r="A251" s="1"/>
    </row>
    <row r="252" spans="1:1" ht="13.2" x14ac:dyDescent="0.25">
      <c r="A252" s="1"/>
    </row>
    <row r="253" spans="1:1" ht="13.2" x14ac:dyDescent="0.25">
      <c r="A253" s="1"/>
    </row>
    <row r="254" spans="1:1" ht="13.2" x14ac:dyDescent="0.25">
      <c r="A254" s="1"/>
    </row>
    <row r="255" spans="1:1" ht="13.2" x14ac:dyDescent="0.25">
      <c r="A255" s="1"/>
    </row>
    <row r="256" spans="1:1" ht="13.2" x14ac:dyDescent="0.25">
      <c r="A256" s="1"/>
    </row>
    <row r="257" spans="1:1" ht="13.2" x14ac:dyDescent="0.25">
      <c r="A257" s="1"/>
    </row>
    <row r="258" spans="1:1" ht="13.2" x14ac:dyDescent="0.25">
      <c r="A258" s="1"/>
    </row>
    <row r="259" spans="1:1" ht="13.2" x14ac:dyDescent="0.25">
      <c r="A259" s="1"/>
    </row>
    <row r="260" spans="1:1" ht="13.2" x14ac:dyDescent="0.25">
      <c r="A260" s="1"/>
    </row>
    <row r="261" spans="1:1" ht="13.2" x14ac:dyDescent="0.25">
      <c r="A261" s="1"/>
    </row>
    <row r="262" spans="1:1" ht="13.2" x14ac:dyDescent="0.25">
      <c r="A262" s="1"/>
    </row>
    <row r="263" spans="1:1" ht="13.2" x14ac:dyDescent="0.25">
      <c r="A263" s="1"/>
    </row>
    <row r="264" spans="1:1" ht="13.2" x14ac:dyDescent="0.25">
      <c r="A264" s="1"/>
    </row>
    <row r="265" spans="1:1" ht="13.2" x14ac:dyDescent="0.25">
      <c r="A265" s="1"/>
    </row>
    <row r="266" spans="1:1" ht="13.2" x14ac:dyDescent="0.25">
      <c r="A266" s="1"/>
    </row>
    <row r="267" spans="1:1" ht="13.2" x14ac:dyDescent="0.25">
      <c r="A267" s="1"/>
    </row>
    <row r="268" spans="1:1" ht="13.2" x14ac:dyDescent="0.25">
      <c r="A268" s="1"/>
    </row>
    <row r="269" spans="1:1" ht="13.2" x14ac:dyDescent="0.25">
      <c r="A269" s="1"/>
    </row>
    <row r="270" spans="1:1" ht="13.2" x14ac:dyDescent="0.25">
      <c r="A270" s="1"/>
    </row>
    <row r="271" spans="1:1" ht="13.2" x14ac:dyDescent="0.25">
      <c r="A271" s="1"/>
    </row>
    <row r="272" spans="1:1" ht="13.2" x14ac:dyDescent="0.25">
      <c r="A272" s="1"/>
    </row>
    <row r="273" spans="1:1" ht="13.2" x14ac:dyDescent="0.25">
      <c r="A273" s="1"/>
    </row>
    <row r="274" spans="1:1" ht="13.2" x14ac:dyDescent="0.25">
      <c r="A274" s="1"/>
    </row>
    <row r="275" spans="1:1" ht="13.2" x14ac:dyDescent="0.25">
      <c r="A275" s="1"/>
    </row>
    <row r="276" spans="1:1" ht="13.2" x14ac:dyDescent="0.25">
      <c r="A276" s="1"/>
    </row>
    <row r="277" spans="1:1" ht="13.2" x14ac:dyDescent="0.25">
      <c r="A277" s="1"/>
    </row>
    <row r="278" spans="1:1" ht="13.2" x14ac:dyDescent="0.25">
      <c r="A278" s="1"/>
    </row>
    <row r="279" spans="1:1" ht="13.2" x14ac:dyDescent="0.25">
      <c r="A279" s="1"/>
    </row>
    <row r="280" spans="1:1" ht="13.2" x14ac:dyDescent="0.25">
      <c r="A280" s="1"/>
    </row>
    <row r="281" spans="1:1" ht="13.2" x14ac:dyDescent="0.25">
      <c r="A281" s="1"/>
    </row>
    <row r="282" spans="1:1" ht="13.2" x14ac:dyDescent="0.25">
      <c r="A282" s="1"/>
    </row>
    <row r="283" spans="1:1" ht="13.2" x14ac:dyDescent="0.25">
      <c r="A283" s="1"/>
    </row>
    <row r="284" spans="1:1" ht="13.2" x14ac:dyDescent="0.25">
      <c r="A284" s="1"/>
    </row>
    <row r="285" spans="1:1" ht="13.2" x14ac:dyDescent="0.25">
      <c r="A285" s="1"/>
    </row>
    <row r="286" spans="1:1" ht="13.2" x14ac:dyDescent="0.25">
      <c r="A286" s="1"/>
    </row>
    <row r="287" spans="1:1" ht="13.2" x14ac:dyDescent="0.25">
      <c r="A287" s="1"/>
    </row>
    <row r="288" spans="1:1" ht="13.2" x14ac:dyDescent="0.25">
      <c r="A288" s="1"/>
    </row>
    <row r="289" spans="1:1" ht="13.2" x14ac:dyDescent="0.25">
      <c r="A289" s="1"/>
    </row>
    <row r="290" spans="1:1" ht="13.2" x14ac:dyDescent="0.25">
      <c r="A290" s="1"/>
    </row>
    <row r="291" spans="1:1" ht="13.2" x14ac:dyDescent="0.25">
      <c r="A291" s="1"/>
    </row>
    <row r="292" spans="1:1" ht="13.2" x14ac:dyDescent="0.25">
      <c r="A292" s="1"/>
    </row>
    <row r="293" spans="1:1" ht="13.2" x14ac:dyDescent="0.25">
      <c r="A293" s="1"/>
    </row>
    <row r="294" spans="1:1" ht="13.2" x14ac:dyDescent="0.25">
      <c r="A294" s="1"/>
    </row>
    <row r="295" spans="1:1" ht="13.2" x14ac:dyDescent="0.25">
      <c r="A295" s="1"/>
    </row>
    <row r="296" spans="1:1" ht="13.2" x14ac:dyDescent="0.25">
      <c r="A296" s="1"/>
    </row>
    <row r="297" spans="1:1" ht="13.2" x14ac:dyDescent="0.25">
      <c r="A297" s="1"/>
    </row>
    <row r="298" spans="1:1" ht="13.2" x14ac:dyDescent="0.25">
      <c r="A298" s="1"/>
    </row>
    <row r="299" spans="1:1" ht="13.2" x14ac:dyDescent="0.25">
      <c r="A299" s="1"/>
    </row>
    <row r="300" spans="1:1" ht="13.2" x14ac:dyDescent="0.25">
      <c r="A300" s="1"/>
    </row>
    <row r="301" spans="1:1" ht="13.2" x14ac:dyDescent="0.25">
      <c r="A301" s="1"/>
    </row>
    <row r="302" spans="1:1" ht="13.2" x14ac:dyDescent="0.25">
      <c r="A302" s="1"/>
    </row>
    <row r="303" spans="1:1" ht="13.2" x14ac:dyDescent="0.25">
      <c r="A303" s="1"/>
    </row>
    <row r="304" spans="1:1" ht="13.2" x14ac:dyDescent="0.25">
      <c r="A304" s="1"/>
    </row>
    <row r="305" spans="1:1" ht="13.2" x14ac:dyDescent="0.25">
      <c r="A305" s="1"/>
    </row>
    <row r="306" spans="1:1" ht="13.2" x14ac:dyDescent="0.25">
      <c r="A306" s="1"/>
    </row>
    <row r="307" spans="1:1" ht="13.2" x14ac:dyDescent="0.25">
      <c r="A307" s="1"/>
    </row>
    <row r="308" spans="1:1" ht="13.2" x14ac:dyDescent="0.25">
      <c r="A308" s="1"/>
    </row>
    <row r="309" spans="1:1" ht="13.2" x14ac:dyDescent="0.25">
      <c r="A309" s="1"/>
    </row>
    <row r="310" spans="1:1" ht="13.2" x14ac:dyDescent="0.25">
      <c r="A310" s="1"/>
    </row>
    <row r="311" spans="1:1" ht="13.2" x14ac:dyDescent="0.25">
      <c r="A311" s="1"/>
    </row>
    <row r="312" spans="1:1" ht="13.2" x14ac:dyDescent="0.25">
      <c r="A312" s="1"/>
    </row>
    <row r="313" spans="1:1" ht="13.2" x14ac:dyDescent="0.25">
      <c r="A313" s="1"/>
    </row>
    <row r="314" spans="1:1" ht="13.2" x14ac:dyDescent="0.25">
      <c r="A314" s="1"/>
    </row>
    <row r="315" spans="1:1" ht="13.2" x14ac:dyDescent="0.25">
      <c r="A315" s="1"/>
    </row>
    <row r="316" spans="1:1" ht="13.2" x14ac:dyDescent="0.25">
      <c r="A316" s="1"/>
    </row>
    <row r="317" spans="1:1" ht="13.2" x14ac:dyDescent="0.25">
      <c r="A317" s="1"/>
    </row>
    <row r="318" spans="1:1" ht="13.2" x14ac:dyDescent="0.25">
      <c r="A318" s="1"/>
    </row>
    <row r="319" spans="1:1" ht="13.2" x14ac:dyDescent="0.25">
      <c r="A319" s="1"/>
    </row>
    <row r="320" spans="1:1" ht="13.2" x14ac:dyDescent="0.25">
      <c r="A320" s="1"/>
    </row>
    <row r="321" spans="1:1" ht="13.2" x14ac:dyDescent="0.25">
      <c r="A321" s="1"/>
    </row>
    <row r="322" spans="1:1" ht="13.2" x14ac:dyDescent="0.25">
      <c r="A322" s="1"/>
    </row>
    <row r="323" spans="1:1" ht="13.2" x14ac:dyDescent="0.25">
      <c r="A323" s="1"/>
    </row>
    <row r="324" spans="1:1" ht="13.2" x14ac:dyDescent="0.25">
      <c r="A324" s="1"/>
    </row>
    <row r="325" spans="1:1" ht="13.2" x14ac:dyDescent="0.25">
      <c r="A325" s="1"/>
    </row>
    <row r="326" spans="1:1" ht="13.2" x14ac:dyDescent="0.25">
      <c r="A326" s="1"/>
    </row>
    <row r="327" spans="1:1" ht="13.2" x14ac:dyDescent="0.25">
      <c r="A327" s="1"/>
    </row>
    <row r="328" spans="1:1" ht="13.2" x14ac:dyDescent="0.25">
      <c r="A328" s="1"/>
    </row>
    <row r="329" spans="1:1" ht="13.2" x14ac:dyDescent="0.25">
      <c r="A329" s="1"/>
    </row>
    <row r="330" spans="1:1" ht="13.2" x14ac:dyDescent="0.25">
      <c r="A330" s="1"/>
    </row>
    <row r="331" spans="1:1" ht="13.2" x14ac:dyDescent="0.25">
      <c r="A331" s="1"/>
    </row>
    <row r="332" spans="1:1" ht="13.2" x14ac:dyDescent="0.25">
      <c r="A332" s="1"/>
    </row>
    <row r="333" spans="1:1" ht="13.2" x14ac:dyDescent="0.25">
      <c r="A333" s="1"/>
    </row>
    <row r="334" spans="1:1" ht="13.2" x14ac:dyDescent="0.25">
      <c r="A334" s="1"/>
    </row>
    <row r="335" spans="1:1" ht="13.2" x14ac:dyDescent="0.25">
      <c r="A335" s="1"/>
    </row>
    <row r="336" spans="1:1" ht="13.2" x14ac:dyDescent="0.25">
      <c r="A336" s="1"/>
    </row>
    <row r="337" spans="1:1" ht="13.2" x14ac:dyDescent="0.25">
      <c r="A337" s="1"/>
    </row>
    <row r="338" spans="1:1" ht="13.2" x14ac:dyDescent="0.25">
      <c r="A338" s="1"/>
    </row>
    <row r="339" spans="1:1" ht="13.2" x14ac:dyDescent="0.25">
      <c r="A339" s="1"/>
    </row>
    <row r="340" spans="1:1" ht="13.2" x14ac:dyDescent="0.25">
      <c r="A340" s="1"/>
    </row>
    <row r="341" spans="1:1" ht="13.2" x14ac:dyDescent="0.25">
      <c r="A341" s="1"/>
    </row>
    <row r="342" spans="1:1" ht="13.2" x14ac:dyDescent="0.25">
      <c r="A342" s="1"/>
    </row>
    <row r="343" spans="1:1" ht="13.2" x14ac:dyDescent="0.25">
      <c r="A343" s="1"/>
    </row>
    <row r="344" spans="1:1" ht="13.2" x14ac:dyDescent="0.25">
      <c r="A344" s="1"/>
    </row>
    <row r="345" spans="1:1" ht="13.2" x14ac:dyDescent="0.25">
      <c r="A345" s="1"/>
    </row>
    <row r="346" spans="1:1" ht="13.2" x14ac:dyDescent="0.25">
      <c r="A346" s="1"/>
    </row>
    <row r="347" spans="1:1" ht="13.2" x14ac:dyDescent="0.25">
      <c r="A347" s="1"/>
    </row>
    <row r="348" spans="1:1" ht="13.2" x14ac:dyDescent="0.25">
      <c r="A348" s="1"/>
    </row>
    <row r="349" spans="1:1" ht="13.2" x14ac:dyDescent="0.25">
      <c r="A349" s="1"/>
    </row>
    <row r="350" spans="1:1" ht="13.2" x14ac:dyDescent="0.25">
      <c r="A350" s="1"/>
    </row>
    <row r="351" spans="1:1" ht="13.2" x14ac:dyDescent="0.25">
      <c r="A351" s="1"/>
    </row>
    <row r="352" spans="1:1" ht="13.2" x14ac:dyDescent="0.25">
      <c r="A352" s="1"/>
    </row>
    <row r="353" spans="1:1" ht="13.2" x14ac:dyDescent="0.25">
      <c r="A353" s="1"/>
    </row>
    <row r="354" spans="1:1" ht="13.2" x14ac:dyDescent="0.25">
      <c r="A354" s="1"/>
    </row>
    <row r="355" spans="1:1" ht="13.2" x14ac:dyDescent="0.25">
      <c r="A355" s="1"/>
    </row>
    <row r="356" spans="1:1" ht="13.2" x14ac:dyDescent="0.25">
      <c r="A356" s="1"/>
    </row>
    <row r="357" spans="1:1" ht="13.2" x14ac:dyDescent="0.25">
      <c r="A357" s="1"/>
    </row>
    <row r="358" spans="1:1" ht="13.2" x14ac:dyDescent="0.25">
      <c r="A358" s="1"/>
    </row>
    <row r="359" spans="1:1" ht="13.2" x14ac:dyDescent="0.25">
      <c r="A359" s="1"/>
    </row>
    <row r="360" spans="1:1" ht="13.2" x14ac:dyDescent="0.25">
      <c r="A360" s="1"/>
    </row>
    <row r="361" spans="1:1" ht="13.2" x14ac:dyDescent="0.25">
      <c r="A361" s="1"/>
    </row>
    <row r="362" spans="1:1" ht="13.2" x14ac:dyDescent="0.25">
      <c r="A362" s="1"/>
    </row>
    <row r="363" spans="1:1" ht="13.2" x14ac:dyDescent="0.25">
      <c r="A363" s="1"/>
    </row>
    <row r="364" spans="1:1" ht="13.2" x14ac:dyDescent="0.25">
      <c r="A364" s="1"/>
    </row>
    <row r="365" spans="1:1" ht="13.2" x14ac:dyDescent="0.25">
      <c r="A365" s="1"/>
    </row>
    <row r="366" spans="1:1" ht="13.2" x14ac:dyDescent="0.25">
      <c r="A366" s="1"/>
    </row>
    <row r="367" spans="1:1" ht="13.2" x14ac:dyDescent="0.25">
      <c r="A367" s="1"/>
    </row>
    <row r="368" spans="1:1" ht="13.2" x14ac:dyDescent="0.25">
      <c r="A368" s="1"/>
    </row>
    <row r="369" spans="1:1" ht="13.2" x14ac:dyDescent="0.25">
      <c r="A369" s="1"/>
    </row>
    <row r="370" spans="1:1" ht="13.2" x14ac:dyDescent="0.25">
      <c r="A370" s="1"/>
    </row>
    <row r="371" spans="1:1" ht="13.2" x14ac:dyDescent="0.25">
      <c r="A371" s="1"/>
    </row>
    <row r="372" spans="1:1" ht="13.2" x14ac:dyDescent="0.25">
      <c r="A372" s="1"/>
    </row>
    <row r="373" spans="1:1" ht="13.2" x14ac:dyDescent="0.25">
      <c r="A373" s="1"/>
    </row>
    <row r="374" spans="1:1" ht="13.2" x14ac:dyDescent="0.25">
      <c r="A374" s="1"/>
    </row>
    <row r="375" spans="1:1" ht="13.2" x14ac:dyDescent="0.25">
      <c r="A375" s="1"/>
    </row>
    <row r="376" spans="1:1" ht="13.2" x14ac:dyDescent="0.25">
      <c r="A376" s="1"/>
    </row>
    <row r="377" spans="1:1" ht="13.2" x14ac:dyDescent="0.25">
      <c r="A377" s="1"/>
    </row>
    <row r="378" spans="1:1" ht="13.2" x14ac:dyDescent="0.25">
      <c r="A378" s="1"/>
    </row>
    <row r="379" spans="1:1" ht="13.2" x14ac:dyDescent="0.25">
      <c r="A379" s="1"/>
    </row>
    <row r="380" spans="1:1" ht="13.2" x14ac:dyDescent="0.25">
      <c r="A380" s="1"/>
    </row>
    <row r="381" spans="1:1" ht="13.2" x14ac:dyDescent="0.25">
      <c r="A381" s="1"/>
    </row>
    <row r="382" spans="1:1" ht="13.2" x14ac:dyDescent="0.25">
      <c r="A382" s="1"/>
    </row>
    <row r="383" spans="1:1" ht="13.2" x14ac:dyDescent="0.25">
      <c r="A383" s="1"/>
    </row>
    <row r="384" spans="1:1" ht="13.2" x14ac:dyDescent="0.25">
      <c r="A384" s="1"/>
    </row>
    <row r="385" spans="1:1" ht="13.2" x14ac:dyDescent="0.25">
      <c r="A385" s="1"/>
    </row>
    <row r="386" spans="1:1" ht="13.2" x14ac:dyDescent="0.25">
      <c r="A386" s="1"/>
    </row>
    <row r="387" spans="1:1" ht="13.2" x14ac:dyDescent="0.25">
      <c r="A387" s="1"/>
    </row>
    <row r="388" spans="1:1" ht="13.2" x14ac:dyDescent="0.25">
      <c r="A388" s="1"/>
    </row>
    <row r="389" spans="1:1" ht="13.2" x14ac:dyDescent="0.25">
      <c r="A389" s="1"/>
    </row>
    <row r="390" spans="1:1" ht="13.2" x14ac:dyDescent="0.25">
      <c r="A390" s="1"/>
    </row>
    <row r="391" spans="1:1" ht="13.2" x14ac:dyDescent="0.25">
      <c r="A391" s="1"/>
    </row>
    <row r="392" spans="1:1" ht="13.2" x14ac:dyDescent="0.25">
      <c r="A392" s="1"/>
    </row>
    <row r="393" spans="1:1" ht="13.2" x14ac:dyDescent="0.25">
      <c r="A393" s="1"/>
    </row>
    <row r="394" spans="1:1" ht="13.2" x14ac:dyDescent="0.25">
      <c r="A394" s="1"/>
    </row>
    <row r="395" spans="1:1" ht="13.2" x14ac:dyDescent="0.25">
      <c r="A395" s="1"/>
    </row>
    <row r="396" spans="1:1" ht="13.2" x14ac:dyDescent="0.25">
      <c r="A396" s="1"/>
    </row>
    <row r="397" spans="1:1" ht="13.2" x14ac:dyDescent="0.25">
      <c r="A397" s="1"/>
    </row>
    <row r="398" spans="1:1" ht="13.2" x14ac:dyDescent="0.25">
      <c r="A398" s="1"/>
    </row>
    <row r="399" spans="1:1" ht="13.2" x14ac:dyDescent="0.25">
      <c r="A399" s="1"/>
    </row>
    <row r="400" spans="1:1" ht="13.2" x14ac:dyDescent="0.25">
      <c r="A400" s="1"/>
    </row>
    <row r="401" spans="1:1" ht="13.2" x14ac:dyDescent="0.25">
      <c r="A401" s="1"/>
    </row>
    <row r="402" spans="1:1" ht="13.2" x14ac:dyDescent="0.25">
      <c r="A402" s="1"/>
    </row>
    <row r="403" spans="1:1" ht="13.2" x14ac:dyDescent="0.25">
      <c r="A403" s="1"/>
    </row>
    <row r="404" spans="1:1" ht="13.2" x14ac:dyDescent="0.25">
      <c r="A404" s="1"/>
    </row>
    <row r="405" spans="1:1" ht="13.2" x14ac:dyDescent="0.25">
      <c r="A405" s="1"/>
    </row>
    <row r="406" spans="1:1" ht="13.2" x14ac:dyDescent="0.25">
      <c r="A406" s="1"/>
    </row>
    <row r="407" spans="1:1" ht="13.2" x14ac:dyDescent="0.25">
      <c r="A407" s="1"/>
    </row>
    <row r="408" spans="1:1" ht="13.2" x14ac:dyDescent="0.25">
      <c r="A408" s="1"/>
    </row>
    <row r="409" spans="1:1" ht="13.2" x14ac:dyDescent="0.25">
      <c r="A409" s="1"/>
    </row>
    <row r="410" spans="1:1" ht="13.2" x14ac:dyDescent="0.25">
      <c r="A410" s="1"/>
    </row>
    <row r="411" spans="1:1" ht="13.2" x14ac:dyDescent="0.25">
      <c r="A411" s="1"/>
    </row>
    <row r="412" spans="1:1" ht="13.2" x14ac:dyDescent="0.25">
      <c r="A412" s="1"/>
    </row>
    <row r="413" spans="1:1" ht="13.2" x14ac:dyDescent="0.25">
      <c r="A413" s="1"/>
    </row>
    <row r="414" spans="1:1" ht="13.2" x14ac:dyDescent="0.25">
      <c r="A414" s="1"/>
    </row>
    <row r="415" spans="1:1" ht="13.2" x14ac:dyDescent="0.25">
      <c r="A415" s="1"/>
    </row>
    <row r="416" spans="1:1" ht="13.2" x14ac:dyDescent="0.25">
      <c r="A416" s="1"/>
    </row>
    <row r="417" spans="1:1" ht="13.2" x14ac:dyDescent="0.25">
      <c r="A417" s="1"/>
    </row>
    <row r="418" spans="1:1" ht="13.2" x14ac:dyDescent="0.25">
      <c r="A418" s="1"/>
    </row>
    <row r="419" spans="1:1" ht="13.2" x14ac:dyDescent="0.25">
      <c r="A419" s="1"/>
    </row>
    <row r="420" spans="1:1" ht="13.2" x14ac:dyDescent="0.25">
      <c r="A420" s="1"/>
    </row>
    <row r="421" spans="1:1" ht="13.2" x14ac:dyDescent="0.25">
      <c r="A421" s="1"/>
    </row>
    <row r="422" spans="1:1" ht="13.2" x14ac:dyDescent="0.25">
      <c r="A422" s="1"/>
    </row>
    <row r="423" spans="1:1" ht="13.2" x14ac:dyDescent="0.25">
      <c r="A423" s="1"/>
    </row>
    <row r="424" spans="1:1" ht="13.2" x14ac:dyDescent="0.25">
      <c r="A424" s="1"/>
    </row>
    <row r="425" spans="1:1" ht="13.2" x14ac:dyDescent="0.25">
      <c r="A425" s="1"/>
    </row>
    <row r="426" spans="1:1" ht="13.2" x14ac:dyDescent="0.25">
      <c r="A426" s="1"/>
    </row>
    <row r="427" spans="1:1" ht="13.2" x14ac:dyDescent="0.25">
      <c r="A427" s="1"/>
    </row>
    <row r="428" spans="1:1" ht="13.2" x14ac:dyDescent="0.25">
      <c r="A428" s="1"/>
    </row>
    <row r="429" spans="1:1" ht="13.2" x14ac:dyDescent="0.25">
      <c r="A429" s="1"/>
    </row>
    <row r="430" spans="1:1" ht="13.2" x14ac:dyDescent="0.25">
      <c r="A430" s="1"/>
    </row>
    <row r="431" spans="1:1" ht="13.2" x14ac:dyDescent="0.25">
      <c r="A431" s="1"/>
    </row>
    <row r="432" spans="1:1" ht="13.2" x14ac:dyDescent="0.25">
      <c r="A432" s="1"/>
    </row>
    <row r="433" spans="1:1" ht="13.2" x14ac:dyDescent="0.25">
      <c r="A433" s="1"/>
    </row>
    <row r="434" spans="1:1" ht="13.2" x14ac:dyDescent="0.25">
      <c r="A434" s="1"/>
    </row>
    <row r="435" spans="1:1" ht="13.2" x14ac:dyDescent="0.25">
      <c r="A435" s="1"/>
    </row>
    <row r="436" spans="1:1" ht="13.2" x14ac:dyDescent="0.25">
      <c r="A436" s="1"/>
    </row>
    <row r="437" spans="1:1" ht="13.2" x14ac:dyDescent="0.25">
      <c r="A437" s="1"/>
    </row>
    <row r="438" spans="1:1" ht="13.2" x14ac:dyDescent="0.25">
      <c r="A438" s="1"/>
    </row>
    <row r="439" spans="1:1" ht="13.2" x14ac:dyDescent="0.25">
      <c r="A439" s="1"/>
    </row>
    <row r="440" spans="1:1" ht="13.2" x14ac:dyDescent="0.25">
      <c r="A440" s="1"/>
    </row>
    <row r="441" spans="1:1" ht="13.2" x14ac:dyDescent="0.25">
      <c r="A441" s="1"/>
    </row>
    <row r="442" spans="1:1" ht="13.2" x14ac:dyDescent="0.25">
      <c r="A442" s="1"/>
    </row>
    <row r="443" spans="1:1" ht="13.2" x14ac:dyDescent="0.25">
      <c r="A443" s="1"/>
    </row>
    <row r="444" spans="1:1" ht="13.2" x14ac:dyDescent="0.25">
      <c r="A444" s="1"/>
    </row>
    <row r="445" spans="1:1" ht="13.2" x14ac:dyDescent="0.25">
      <c r="A445" s="1"/>
    </row>
    <row r="446" spans="1:1" ht="13.2" x14ac:dyDescent="0.25">
      <c r="A446" s="1"/>
    </row>
    <row r="447" spans="1:1" ht="13.2" x14ac:dyDescent="0.25">
      <c r="A447" s="1"/>
    </row>
    <row r="448" spans="1:1" ht="13.2" x14ac:dyDescent="0.25">
      <c r="A448" s="1"/>
    </row>
    <row r="449" spans="1:1" ht="13.2" x14ac:dyDescent="0.25">
      <c r="A449" s="1"/>
    </row>
    <row r="450" spans="1:1" ht="13.2" x14ac:dyDescent="0.25">
      <c r="A450" s="1"/>
    </row>
    <row r="451" spans="1:1" ht="13.2" x14ac:dyDescent="0.25">
      <c r="A451" s="1"/>
    </row>
    <row r="452" spans="1:1" ht="13.2" x14ac:dyDescent="0.25">
      <c r="A452" s="1"/>
    </row>
    <row r="453" spans="1:1" ht="13.2" x14ac:dyDescent="0.25">
      <c r="A453" s="1"/>
    </row>
    <row r="454" spans="1:1" ht="13.2" x14ac:dyDescent="0.25">
      <c r="A454" s="1"/>
    </row>
    <row r="455" spans="1:1" ht="13.2" x14ac:dyDescent="0.25">
      <c r="A455" s="1"/>
    </row>
    <row r="456" spans="1:1" ht="13.2" x14ac:dyDescent="0.25">
      <c r="A456" s="1"/>
    </row>
    <row r="457" spans="1:1" ht="13.2" x14ac:dyDescent="0.25">
      <c r="A457" s="1"/>
    </row>
    <row r="458" spans="1:1" ht="13.2" x14ac:dyDescent="0.25">
      <c r="A458" s="1"/>
    </row>
    <row r="459" spans="1:1" ht="13.2" x14ac:dyDescent="0.25">
      <c r="A459" s="1"/>
    </row>
    <row r="460" spans="1:1" ht="13.2" x14ac:dyDescent="0.25">
      <c r="A460" s="1"/>
    </row>
    <row r="461" spans="1:1" ht="13.2" x14ac:dyDescent="0.25">
      <c r="A461" s="1"/>
    </row>
    <row r="462" spans="1:1" ht="13.2" x14ac:dyDescent="0.25">
      <c r="A462" s="1"/>
    </row>
    <row r="463" spans="1:1" ht="13.2" x14ac:dyDescent="0.25">
      <c r="A463" s="1"/>
    </row>
    <row r="464" spans="1:1" ht="13.2" x14ac:dyDescent="0.25">
      <c r="A464" s="1"/>
    </row>
    <row r="465" spans="1:1" ht="13.2" x14ac:dyDescent="0.25">
      <c r="A465" s="1"/>
    </row>
    <row r="466" spans="1:1" ht="13.2" x14ac:dyDescent="0.25">
      <c r="A466" s="1"/>
    </row>
    <row r="467" spans="1:1" ht="13.2" x14ac:dyDescent="0.25">
      <c r="A467" s="1"/>
    </row>
    <row r="468" spans="1:1" ht="13.2" x14ac:dyDescent="0.25">
      <c r="A468" s="1"/>
    </row>
    <row r="469" spans="1:1" ht="13.2" x14ac:dyDescent="0.25">
      <c r="A469" s="1"/>
    </row>
    <row r="470" spans="1:1" ht="13.2" x14ac:dyDescent="0.25">
      <c r="A470" s="1"/>
    </row>
    <row r="471" spans="1:1" ht="13.2" x14ac:dyDescent="0.25">
      <c r="A471" s="1"/>
    </row>
    <row r="472" spans="1:1" ht="13.2" x14ac:dyDescent="0.25">
      <c r="A472" s="1"/>
    </row>
    <row r="473" spans="1:1" ht="13.2" x14ac:dyDescent="0.25">
      <c r="A473" s="1"/>
    </row>
    <row r="474" spans="1:1" ht="13.2" x14ac:dyDescent="0.25">
      <c r="A474" s="1"/>
    </row>
    <row r="475" spans="1:1" ht="13.2" x14ac:dyDescent="0.25">
      <c r="A475" s="1"/>
    </row>
    <row r="476" spans="1:1" ht="13.2" x14ac:dyDescent="0.25">
      <c r="A476" s="1"/>
    </row>
    <row r="477" spans="1:1" ht="13.2" x14ac:dyDescent="0.25">
      <c r="A477" s="1"/>
    </row>
    <row r="478" spans="1:1" ht="13.2" x14ac:dyDescent="0.25">
      <c r="A478" s="1"/>
    </row>
    <row r="479" spans="1:1" ht="13.2" x14ac:dyDescent="0.25">
      <c r="A479" s="1"/>
    </row>
    <row r="480" spans="1:1" ht="13.2" x14ac:dyDescent="0.25">
      <c r="A480" s="1"/>
    </row>
    <row r="481" spans="1:1" ht="13.2" x14ac:dyDescent="0.25">
      <c r="A481" s="1"/>
    </row>
    <row r="482" spans="1:1" ht="13.2" x14ac:dyDescent="0.25">
      <c r="A482" s="1"/>
    </row>
    <row r="483" spans="1:1" ht="13.2" x14ac:dyDescent="0.25">
      <c r="A483" s="1"/>
    </row>
    <row r="484" spans="1:1" ht="13.2" x14ac:dyDescent="0.25">
      <c r="A484" s="1"/>
    </row>
    <row r="485" spans="1:1" ht="13.2" x14ac:dyDescent="0.25">
      <c r="A485" s="1"/>
    </row>
    <row r="486" spans="1:1" ht="13.2" x14ac:dyDescent="0.25">
      <c r="A486" s="1"/>
    </row>
    <row r="487" spans="1:1" ht="13.2" x14ac:dyDescent="0.25">
      <c r="A487" s="1"/>
    </row>
    <row r="488" spans="1:1" ht="13.2" x14ac:dyDescent="0.25">
      <c r="A488" s="1"/>
    </row>
    <row r="489" spans="1:1" ht="13.2" x14ac:dyDescent="0.25">
      <c r="A489" s="1"/>
    </row>
    <row r="490" spans="1:1" ht="13.2" x14ac:dyDescent="0.25">
      <c r="A490" s="1"/>
    </row>
    <row r="491" spans="1:1" ht="13.2" x14ac:dyDescent="0.25">
      <c r="A491" s="1"/>
    </row>
    <row r="492" spans="1:1" ht="13.2" x14ac:dyDescent="0.25">
      <c r="A492" s="1"/>
    </row>
    <row r="493" spans="1:1" ht="13.2" x14ac:dyDescent="0.25">
      <c r="A493" s="1"/>
    </row>
    <row r="494" spans="1:1" ht="13.2" x14ac:dyDescent="0.25">
      <c r="A494" s="1"/>
    </row>
    <row r="495" spans="1:1" ht="13.2" x14ac:dyDescent="0.25">
      <c r="A495" s="1"/>
    </row>
    <row r="496" spans="1:1" ht="13.2" x14ac:dyDescent="0.25">
      <c r="A496" s="1"/>
    </row>
    <row r="497" spans="1:1" ht="13.2" x14ac:dyDescent="0.25">
      <c r="A497" s="1"/>
    </row>
    <row r="498" spans="1:1" ht="13.2" x14ac:dyDescent="0.25">
      <c r="A498" s="1"/>
    </row>
    <row r="499" spans="1:1" ht="13.2" x14ac:dyDescent="0.25">
      <c r="A499" s="1"/>
    </row>
    <row r="500" spans="1:1" ht="13.2" x14ac:dyDescent="0.25">
      <c r="A500" s="1"/>
    </row>
    <row r="501" spans="1:1" ht="13.2" x14ac:dyDescent="0.25">
      <c r="A501" s="1"/>
    </row>
    <row r="502" spans="1:1" ht="13.2" x14ac:dyDescent="0.25">
      <c r="A502" s="1"/>
    </row>
    <row r="503" spans="1:1" ht="13.2" x14ac:dyDescent="0.25">
      <c r="A503" s="1"/>
    </row>
    <row r="504" spans="1:1" ht="13.2" x14ac:dyDescent="0.25">
      <c r="A504" s="1"/>
    </row>
    <row r="505" spans="1:1" ht="13.2" x14ac:dyDescent="0.25">
      <c r="A505" s="1"/>
    </row>
    <row r="506" spans="1:1" ht="13.2" x14ac:dyDescent="0.25">
      <c r="A506" s="1"/>
    </row>
    <row r="507" spans="1:1" ht="13.2" x14ac:dyDescent="0.25">
      <c r="A507" s="1"/>
    </row>
    <row r="508" spans="1:1" ht="13.2" x14ac:dyDescent="0.25">
      <c r="A508" s="1"/>
    </row>
    <row r="509" spans="1:1" ht="13.2" x14ac:dyDescent="0.25">
      <c r="A509" s="1"/>
    </row>
    <row r="510" spans="1:1" ht="13.2" x14ac:dyDescent="0.25">
      <c r="A510" s="1"/>
    </row>
    <row r="511" spans="1:1" ht="13.2" x14ac:dyDescent="0.25">
      <c r="A511" s="1"/>
    </row>
    <row r="512" spans="1:1" ht="13.2" x14ac:dyDescent="0.25">
      <c r="A512" s="1"/>
    </row>
    <row r="513" spans="1:1" ht="13.2" x14ac:dyDescent="0.25">
      <c r="A513" s="1"/>
    </row>
    <row r="514" spans="1:1" ht="13.2" x14ac:dyDescent="0.25">
      <c r="A514" s="1"/>
    </row>
    <row r="515" spans="1:1" ht="13.2" x14ac:dyDescent="0.25">
      <c r="A515" s="1"/>
    </row>
    <row r="516" spans="1:1" ht="13.2" x14ac:dyDescent="0.25">
      <c r="A516" s="1"/>
    </row>
    <row r="517" spans="1:1" ht="13.2" x14ac:dyDescent="0.25">
      <c r="A517" s="1"/>
    </row>
    <row r="518" spans="1:1" ht="13.2" x14ac:dyDescent="0.25">
      <c r="A518" s="1"/>
    </row>
    <row r="519" spans="1:1" ht="13.2" x14ac:dyDescent="0.25">
      <c r="A519" s="1"/>
    </row>
    <row r="520" spans="1:1" ht="13.2" x14ac:dyDescent="0.25">
      <c r="A520" s="1"/>
    </row>
    <row r="521" spans="1:1" ht="13.2" x14ac:dyDescent="0.25">
      <c r="A521" s="1"/>
    </row>
    <row r="522" spans="1:1" ht="13.2" x14ac:dyDescent="0.25">
      <c r="A522" s="1"/>
    </row>
    <row r="523" spans="1:1" ht="13.2" x14ac:dyDescent="0.25">
      <c r="A523" s="1"/>
    </row>
    <row r="524" spans="1:1" ht="13.2" x14ac:dyDescent="0.25">
      <c r="A524" s="1"/>
    </row>
    <row r="525" spans="1:1" ht="13.2" x14ac:dyDescent="0.25">
      <c r="A525" s="1"/>
    </row>
    <row r="526" spans="1:1" ht="13.2" x14ac:dyDescent="0.25">
      <c r="A526" s="1"/>
    </row>
    <row r="527" spans="1:1" ht="13.2" x14ac:dyDescent="0.25">
      <c r="A527" s="1"/>
    </row>
    <row r="528" spans="1:1" ht="13.2" x14ac:dyDescent="0.25">
      <c r="A528" s="1"/>
    </row>
    <row r="529" spans="1:1" ht="13.2" x14ac:dyDescent="0.25">
      <c r="A529" s="1"/>
    </row>
    <row r="530" spans="1:1" ht="13.2" x14ac:dyDescent="0.25">
      <c r="A530" s="1"/>
    </row>
    <row r="531" spans="1:1" ht="13.2" x14ac:dyDescent="0.25">
      <c r="A531" s="1"/>
    </row>
    <row r="532" spans="1:1" ht="13.2" x14ac:dyDescent="0.25">
      <c r="A532" s="1"/>
    </row>
    <row r="533" spans="1:1" ht="13.2" x14ac:dyDescent="0.25">
      <c r="A533" s="1"/>
    </row>
    <row r="534" spans="1:1" ht="13.2" x14ac:dyDescent="0.25">
      <c r="A534" s="1"/>
    </row>
    <row r="535" spans="1:1" ht="13.2" x14ac:dyDescent="0.25">
      <c r="A535" s="1"/>
    </row>
    <row r="536" spans="1:1" ht="13.2" x14ac:dyDescent="0.25">
      <c r="A536" s="1"/>
    </row>
    <row r="537" spans="1:1" ht="13.2" x14ac:dyDescent="0.25">
      <c r="A537" s="1"/>
    </row>
    <row r="538" spans="1:1" ht="13.2" x14ac:dyDescent="0.25">
      <c r="A538" s="1"/>
    </row>
    <row r="539" spans="1:1" ht="13.2" x14ac:dyDescent="0.25">
      <c r="A539" s="1"/>
    </row>
    <row r="540" spans="1:1" ht="13.2" x14ac:dyDescent="0.25">
      <c r="A540" s="1"/>
    </row>
    <row r="541" spans="1:1" ht="13.2" x14ac:dyDescent="0.25">
      <c r="A541" s="1"/>
    </row>
    <row r="542" spans="1:1" ht="13.2" x14ac:dyDescent="0.25">
      <c r="A542" s="1"/>
    </row>
    <row r="543" spans="1:1" ht="13.2" x14ac:dyDescent="0.25">
      <c r="A543" s="1"/>
    </row>
    <row r="544" spans="1:1" ht="13.2" x14ac:dyDescent="0.25">
      <c r="A544" s="1"/>
    </row>
    <row r="545" spans="1:1" ht="13.2" x14ac:dyDescent="0.25">
      <c r="A545" s="1"/>
    </row>
    <row r="546" spans="1:1" ht="13.2" x14ac:dyDescent="0.25">
      <c r="A546" s="1"/>
    </row>
    <row r="547" spans="1:1" ht="13.2" x14ac:dyDescent="0.25">
      <c r="A547" s="1"/>
    </row>
    <row r="548" spans="1:1" ht="13.2" x14ac:dyDescent="0.25">
      <c r="A548" s="1"/>
    </row>
    <row r="549" spans="1:1" ht="13.2" x14ac:dyDescent="0.25">
      <c r="A549" s="1"/>
    </row>
    <row r="550" spans="1:1" ht="13.2" x14ac:dyDescent="0.25">
      <c r="A550" s="1"/>
    </row>
    <row r="551" spans="1:1" ht="13.2" x14ac:dyDescent="0.25">
      <c r="A551" s="1"/>
    </row>
    <row r="552" spans="1:1" ht="13.2" x14ac:dyDescent="0.25">
      <c r="A552" s="1"/>
    </row>
    <row r="553" spans="1:1" ht="13.2" x14ac:dyDescent="0.25">
      <c r="A553" s="1"/>
    </row>
    <row r="554" spans="1:1" ht="13.2" x14ac:dyDescent="0.25">
      <c r="A554" s="1"/>
    </row>
    <row r="555" spans="1:1" ht="13.2" x14ac:dyDescent="0.25">
      <c r="A555" s="1"/>
    </row>
    <row r="556" spans="1:1" ht="13.2" x14ac:dyDescent="0.25">
      <c r="A556" s="1"/>
    </row>
    <row r="557" spans="1:1" ht="13.2" x14ac:dyDescent="0.25">
      <c r="A557" s="1"/>
    </row>
    <row r="558" spans="1:1" ht="13.2" x14ac:dyDescent="0.25">
      <c r="A558" s="1"/>
    </row>
    <row r="559" spans="1:1" ht="13.2" x14ac:dyDescent="0.25">
      <c r="A559" s="1"/>
    </row>
    <row r="560" spans="1:1" ht="13.2" x14ac:dyDescent="0.25">
      <c r="A560" s="1"/>
    </row>
    <row r="561" spans="1:1" ht="13.2" x14ac:dyDescent="0.25">
      <c r="A561" s="1"/>
    </row>
    <row r="562" spans="1:1" ht="13.2" x14ac:dyDescent="0.25">
      <c r="A562" s="1"/>
    </row>
    <row r="563" spans="1:1" ht="13.2" x14ac:dyDescent="0.25">
      <c r="A563" s="1"/>
    </row>
    <row r="564" spans="1:1" ht="13.2" x14ac:dyDescent="0.25">
      <c r="A564" s="1"/>
    </row>
    <row r="565" spans="1:1" ht="13.2" x14ac:dyDescent="0.25">
      <c r="A565" s="1"/>
    </row>
    <row r="566" spans="1:1" ht="13.2" x14ac:dyDescent="0.25">
      <c r="A566" s="1"/>
    </row>
    <row r="567" spans="1:1" ht="13.2" x14ac:dyDescent="0.25">
      <c r="A567" s="1"/>
    </row>
    <row r="568" spans="1:1" ht="13.2" x14ac:dyDescent="0.25">
      <c r="A568" s="1"/>
    </row>
    <row r="569" spans="1:1" ht="13.2" x14ac:dyDescent="0.25">
      <c r="A569" s="1"/>
    </row>
    <row r="570" spans="1:1" ht="13.2" x14ac:dyDescent="0.25">
      <c r="A570" s="1"/>
    </row>
    <row r="571" spans="1:1" ht="13.2" x14ac:dyDescent="0.25">
      <c r="A571" s="1"/>
    </row>
    <row r="572" spans="1:1" ht="13.2" x14ac:dyDescent="0.25">
      <c r="A572" s="1"/>
    </row>
    <row r="573" spans="1:1" ht="13.2" x14ac:dyDescent="0.25">
      <c r="A573" s="1"/>
    </row>
    <row r="574" spans="1:1" ht="13.2" x14ac:dyDescent="0.25">
      <c r="A574" s="1"/>
    </row>
    <row r="575" spans="1:1" ht="13.2" x14ac:dyDescent="0.25">
      <c r="A575" s="1"/>
    </row>
    <row r="576" spans="1:1" ht="13.2" x14ac:dyDescent="0.25">
      <c r="A576" s="1"/>
    </row>
    <row r="577" spans="1:1" ht="13.2" x14ac:dyDescent="0.25">
      <c r="A577" s="1"/>
    </row>
    <row r="578" spans="1:1" ht="13.2" x14ac:dyDescent="0.25">
      <c r="A578" s="1"/>
    </row>
    <row r="579" spans="1:1" ht="13.2" x14ac:dyDescent="0.25">
      <c r="A579" s="1"/>
    </row>
    <row r="580" spans="1:1" ht="13.2" x14ac:dyDescent="0.25">
      <c r="A580" s="1"/>
    </row>
    <row r="581" spans="1:1" ht="13.2" x14ac:dyDescent="0.25">
      <c r="A581" s="1"/>
    </row>
    <row r="582" spans="1:1" ht="13.2" x14ac:dyDescent="0.25">
      <c r="A582" s="1"/>
    </row>
    <row r="583" spans="1:1" ht="13.2" x14ac:dyDescent="0.25">
      <c r="A583" s="1"/>
    </row>
    <row r="584" spans="1:1" ht="13.2" x14ac:dyDescent="0.25">
      <c r="A584" s="1"/>
    </row>
    <row r="585" spans="1:1" ht="13.2" x14ac:dyDescent="0.25">
      <c r="A585" s="1"/>
    </row>
    <row r="586" spans="1:1" ht="13.2" x14ac:dyDescent="0.25">
      <c r="A586" s="1"/>
    </row>
    <row r="587" spans="1:1" ht="13.2" x14ac:dyDescent="0.25">
      <c r="A587" s="1"/>
    </row>
    <row r="588" spans="1:1" ht="13.2" x14ac:dyDescent="0.25">
      <c r="A588" s="1"/>
    </row>
    <row r="589" spans="1:1" ht="13.2" x14ac:dyDescent="0.25">
      <c r="A589" s="1"/>
    </row>
    <row r="590" spans="1:1" ht="13.2" x14ac:dyDescent="0.25">
      <c r="A590" s="1"/>
    </row>
    <row r="591" spans="1:1" ht="13.2" x14ac:dyDescent="0.25">
      <c r="A591" s="1"/>
    </row>
    <row r="592" spans="1:1" ht="13.2" x14ac:dyDescent="0.25">
      <c r="A592" s="1"/>
    </row>
    <row r="593" spans="1:1" ht="13.2" x14ac:dyDescent="0.25">
      <c r="A593" s="1"/>
    </row>
    <row r="594" spans="1:1" ht="13.2" x14ac:dyDescent="0.25">
      <c r="A594" s="1"/>
    </row>
    <row r="595" spans="1:1" ht="13.2" x14ac:dyDescent="0.25">
      <c r="A595" s="1"/>
    </row>
    <row r="596" spans="1:1" ht="13.2" x14ac:dyDescent="0.25">
      <c r="A596" s="1"/>
    </row>
    <row r="597" spans="1:1" ht="13.2" x14ac:dyDescent="0.25">
      <c r="A597" s="1"/>
    </row>
    <row r="598" spans="1:1" ht="13.2" x14ac:dyDescent="0.25">
      <c r="A598" s="1"/>
    </row>
    <row r="599" spans="1:1" ht="13.2" x14ac:dyDescent="0.25">
      <c r="A599" s="1"/>
    </row>
    <row r="600" spans="1:1" ht="13.2" x14ac:dyDescent="0.25">
      <c r="A600" s="1"/>
    </row>
    <row r="601" spans="1:1" ht="13.2" x14ac:dyDescent="0.25">
      <c r="A601" s="1"/>
    </row>
    <row r="602" spans="1:1" ht="13.2" x14ac:dyDescent="0.25">
      <c r="A602" s="1"/>
    </row>
    <row r="603" spans="1:1" ht="13.2" x14ac:dyDescent="0.25">
      <c r="A603" s="1"/>
    </row>
    <row r="604" spans="1:1" ht="13.2" x14ac:dyDescent="0.25">
      <c r="A604" s="1"/>
    </row>
    <row r="605" spans="1:1" ht="13.2" x14ac:dyDescent="0.25">
      <c r="A605" s="1"/>
    </row>
    <row r="606" spans="1:1" ht="13.2" x14ac:dyDescent="0.25">
      <c r="A606" s="1"/>
    </row>
    <row r="607" spans="1:1" ht="13.2" x14ac:dyDescent="0.25">
      <c r="A607" s="1"/>
    </row>
    <row r="608" spans="1:1" ht="13.2" x14ac:dyDescent="0.25">
      <c r="A608" s="1"/>
    </row>
    <row r="609" spans="1:1" ht="13.2" x14ac:dyDescent="0.25">
      <c r="A609" s="1"/>
    </row>
    <row r="610" spans="1:1" ht="13.2" x14ac:dyDescent="0.25">
      <c r="A610" s="1"/>
    </row>
    <row r="611" spans="1:1" ht="13.2" x14ac:dyDescent="0.25">
      <c r="A611" s="1"/>
    </row>
    <row r="612" spans="1:1" ht="13.2" x14ac:dyDescent="0.25">
      <c r="A612" s="1"/>
    </row>
    <row r="613" spans="1:1" ht="13.2" x14ac:dyDescent="0.25">
      <c r="A613" s="1"/>
    </row>
    <row r="614" spans="1:1" ht="13.2" x14ac:dyDescent="0.25">
      <c r="A614" s="1"/>
    </row>
    <row r="615" spans="1:1" ht="13.2" x14ac:dyDescent="0.25">
      <c r="A615" s="1"/>
    </row>
    <row r="616" spans="1:1" ht="13.2" x14ac:dyDescent="0.25">
      <c r="A616" s="1"/>
    </row>
    <row r="617" spans="1:1" ht="13.2" x14ac:dyDescent="0.25">
      <c r="A617" s="1"/>
    </row>
    <row r="618" spans="1:1" ht="13.2" x14ac:dyDescent="0.25">
      <c r="A618" s="1"/>
    </row>
    <row r="619" spans="1:1" ht="13.2" x14ac:dyDescent="0.25">
      <c r="A619" s="1"/>
    </row>
    <row r="620" spans="1:1" ht="13.2" x14ac:dyDescent="0.25">
      <c r="A620" s="1"/>
    </row>
    <row r="621" spans="1:1" ht="13.2" x14ac:dyDescent="0.25">
      <c r="A621" s="1"/>
    </row>
    <row r="622" spans="1:1" ht="13.2" x14ac:dyDescent="0.25">
      <c r="A622" s="1"/>
    </row>
    <row r="623" spans="1:1" ht="13.2" x14ac:dyDescent="0.25">
      <c r="A623" s="1"/>
    </row>
    <row r="624" spans="1:1" ht="13.2" x14ac:dyDescent="0.25">
      <c r="A624" s="1"/>
    </row>
    <row r="625" spans="1:1" ht="13.2" x14ac:dyDescent="0.25">
      <c r="A625" s="1"/>
    </row>
    <row r="626" spans="1:1" ht="13.2" x14ac:dyDescent="0.25">
      <c r="A626" s="1"/>
    </row>
    <row r="627" spans="1:1" ht="13.2" x14ac:dyDescent="0.25">
      <c r="A627" s="1"/>
    </row>
    <row r="628" spans="1:1" ht="13.2" x14ac:dyDescent="0.25">
      <c r="A628" s="1"/>
    </row>
    <row r="629" spans="1:1" ht="13.2" x14ac:dyDescent="0.25">
      <c r="A629" s="1"/>
    </row>
    <row r="630" spans="1:1" ht="13.2" x14ac:dyDescent="0.25">
      <c r="A630" s="1"/>
    </row>
    <row r="631" spans="1:1" ht="13.2" x14ac:dyDescent="0.25">
      <c r="A631" s="1"/>
    </row>
    <row r="632" spans="1:1" ht="13.2" x14ac:dyDescent="0.25">
      <c r="A632" s="1"/>
    </row>
    <row r="633" spans="1:1" ht="13.2" x14ac:dyDescent="0.25">
      <c r="A633" s="1"/>
    </row>
    <row r="634" spans="1:1" ht="13.2" x14ac:dyDescent="0.25">
      <c r="A634" s="1"/>
    </row>
    <row r="635" spans="1:1" ht="13.2" x14ac:dyDescent="0.25">
      <c r="A635" s="1"/>
    </row>
    <row r="636" spans="1:1" ht="13.2" x14ac:dyDescent="0.25">
      <c r="A636" s="1"/>
    </row>
    <row r="637" spans="1:1" ht="13.2" x14ac:dyDescent="0.25">
      <c r="A637" s="1"/>
    </row>
    <row r="638" spans="1:1" ht="13.2" x14ac:dyDescent="0.25">
      <c r="A638" s="1"/>
    </row>
    <row r="639" spans="1:1" ht="13.2" x14ac:dyDescent="0.25">
      <c r="A639" s="1"/>
    </row>
    <row r="640" spans="1:1" ht="13.2" x14ac:dyDescent="0.25">
      <c r="A640" s="1"/>
    </row>
    <row r="641" spans="1:1" ht="13.2" x14ac:dyDescent="0.25">
      <c r="A641" s="1"/>
    </row>
    <row r="642" spans="1:1" ht="13.2" x14ac:dyDescent="0.25">
      <c r="A642" s="1"/>
    </row>
    <row r="643" spans="1:1" ht="13.2" x14ac:dyDescent="0.25">
      <c r="A643" s="1"/>
    </row>
    <row r="644" spans="1:1" ht="13.2" x14ac:dyDescent="0.25">
      <c r="A644" s="1"/>
    </row>
    <row r="645" spans="1:1" ht="13.2" x14ac:dyDescent="0.25">
      <c r="A645" s="1"/>
    </row>
    <row r="646" spans="1:1" ht="13.2" x14ac:dyDescent="0.25">
      <c r="A646" s="1"/>
    </row>
    <row r="647" spans="1:1" ht="13.2" x14ac:dyDescent="0.25">
      <c r="A647" s="1"/>
    </row>
    <row r="648" spans="1:1" ht="13.2" x14ac:dyDescent="0.25">
      <c r="A648" s="1"/>
    </row>
    <row r="649" spans="1:1" ht="13.2" x14ac:dyDescent="0.25">
      <c r="A649" s="1"/>
    </row>
    <row r="650" spans="1:1" ht="13.2" x14ac:dyDescent="0.25">
      <c r="A650" s="1"/>
    </row>
    <row r="651" spans="1:1" ht="13.2" x14ac:dyDescent="0.25">
      <c r="A651" s="1"/>
    </row>
    <row r="652" spans="1:1" ht="13.2" x14ac:dyDescent="0.25">
      <c r="A652" s="1"/>
    </row>
    <row r="653" spans="1:1" ht="13.2" x14ac:dyDescent="0.25">
      <c r="A653" s="1"/>
    </row>
    <row r="654" spans="1:1" ht="13.2" x14ac:dyDescent="0.25">
      <c r="A654" s="1"/>
    </row>
    <row r="655" spans="1:1" ht="13.2" x14ac:dyDescent="0.25">
      <c r="A655" s="1"/>
    </row>
    <row r="656" spans="1:1" ht="13.2" x14ac:dyDescent="0.25">
      <c r="A656" s="1"/>
    </row>
    <row r="657" spans="1:1" ht="13.2" x14ac:dyDescent="0.25">
      <c r="A657" s="1"/>
    </row>
    <row r="658" spans="1:1" ht="13.2" x14ac:dyDescent="0.25">
      <c r="A658" s="1"/>
    </row>
    <row r="659" spans="1:1" ht="13.2" x14ac:dyDescent="0.25">
      <c r="A659" s="1"/>
    </row>
    <row r="660" spans="1:1" ht="13.2" x14ac:dyDescent="0.25">
      <c r="A660" s="1"/>
    </row>
    <row r="661" spans="1:1" ht="13.2" x14ac:dyDescent="0.25">
      <c r="A661" s="1"/>
    </row>
    <row r="662" spans="1:1" ht="13.2" x14ac:dyDescent="0.25">
      <c r="A662" s="1"/>
    </row>
    <row r="663" spans="1:1" ht="13.2" x14ac:dyDescent="0.25">
      <c r="A663" s="1"/>
    </row>
    <row r="664" spans="1:1" ht="13.2" x14ac:dyDescent="0.25">
      <c r="A664" s="1"/>
    </row>
    <row r="665" spans="1:1" ht="13.2" x14ac:dyDescent="0.25">
      <c r="A665" s="1"/>
    </row>
    <row r="666" spans="1:1" ht="13.2" x14ac:dyDescent="0.25">
      <c r="A666" s="1"/>
    </row>
    <row r="667" spans="1:1" ht="13.2" x14ac:dyDescent="0.25">
      <c r="A667" s="1"/>
    </row>
    <row r="668" spans="1:1" ht="13.2" x14ac:dyDescent="0.25">
      <c r="A668" s="1"/>
    </row>
    <row r="669" spans="1:1" ht="13.2" x14ac:dyDescent="0.25">
      <c r="A669" s="1"/>
    </row>
    <row r="670" spans="1:1" ht="13.2" x14ac:dyDescent="0.25">
      <c r="A670" s="1"/>
    </row>
    <row r="671" spans="1:1" ht="13.2" x14ac:dyDescent="0.25">
      <c r="A671" s="1"/>
    </row>
    <row r="672" spans="1:1" ht="13.2" x14ac:dyDescent="0.25">
      <c r="A672" s="1"/>
    </row>
    <row r="673" spans="1:1" ht="13.2" x14ac:dyDescent="0.25">
      <c r="A673" s="1"/>
    </row>
    <row r="674" spans="1:1" ht="13.2" x14ac:dyDescent="0.25">
      <c r="A674" s="1"/>
    </row>
    <row r="675" spans="1:1" ht="13.2" x14ac:dyDescent="0.25">
      <c r="A675" s="1"/>
    </row>
    <row r="676" spans="1:1" ht="13.2" x14ac:dyDescent="0.25">
      <c r="A676" s="1"/>
    </row>
    <row r="677" spans="1:1" ht="13.2" x14ac:dyDescent="0.25">
      <c r="A677" s="1"/>
    </row>
    <row r="678" spans="1:1" ht="13.2" x14ac:dyDescent="0.25">
      <c r="A678" s="1"/>
    </row>
    <row r="679" spans="1:1" ht="13.2" x14ac:dyDescent="0.25">
      <c r="A679" s="1"/>
    </row>
    <row r="680" spans="1:1" ht="13.2" x14ac:dyDescent="0.25">
      <c r="A680" s="1"/>
    </row>
    <row r="681" spans="1:1" ht="13.2" x14ac:dyDescent="0.25">
      <c r="A681" s="1"/>
    </row>
    <row r="682" spans="1:1" ht="13.2" x14ac:dyDescent="0.25">
      <c r="A682" s="1"/>
    </row>
    <row r="683" spans="1:1" ht="13.2" x14ac:dyDescent="0.25">
      <c r="A683" s="1"/>
    </row>
    <row r="684" spans="1:1" ht="13.2" x14ac:dyDescent="0.25">
      <c r="A684" s="1"/>
    </row>
    <row r="685" spans="1:1" ht="13.2" x14ac:dyDescent="0.25">
      <c r="A685" s="1"/>
    </row>
    <row r="686" spans="1:1" ht="13.2" x14ac:dyDescent="0.25">
      <c r="A686" s="1"/>
    </row>
    <row r="687" spans="1:1" ht="13.2" x14ac:dyDescent="0.25">
      <c r="A687" s="1"/>
    </row>
    <row r="688" spans="1:1" ht="13.2" x14ac:dyDescent="0.25">
      <c r="A688" s="1"/>
    </row>
    <row r="689" spans="1:1" ht="13.2" x14ac:dyDescent="0.25">
      <c r="A689" s="1"/>
    </row>
    <row r="690" spans="1:1" ht="13.2" x14ac:dyDescent="0.25">
      <c r="A690" s="1"/>
    </row>
    <row r="691" spans="1:1" ht="13.2" x14ac:dyDescent="0.25">
      <c r="A691" s="1"/>
    </row>
    <row r="692" spans="1:1" ht="13.2" x14ac:dyDescent="0.25">
      <c r="A692" s="1"/>
    </row>
    <row r="693" spans="1:1" ht="13.2" x14ac:dyDescent="0.25">
      <c r="A693" s="1"/>
    </row>
    <row r="694" spans="1:1" ht="13.2" x14ac:dyDescent="0.25">
      <c r="A694" s="1"/>
    </row>
    <row r="695" spans="1:1" ht="13.2" x14ac:dyDescent="0.25">
      <c r="A695" s="1"/>
    </row>
    <row r="696" spans="1:1" ht="13.2" x14ac:dyDescent="0.25">
      <c r="A696" s="1"/>
    </row>
    <row r="697" spans="1:1" ht="13.2" x14ac:dyDescent="0.25">
      <c r="A697" s="1"/>
    </row>
    <row r="698" spans="1:1" ht="13.2" x14ac:dyDescent="0.25">
      <c r="A698" s="1"/>
    </row>
    <row r="699" spans="1:1" ht="13.2" x14ac:dyDescent="0.25">
      <c r="A699" s="1"/>
    </row>
    <row r="700" spans="1:1" ht="13.2" x14ac:dyDescent="0.25">
      <c r="A700" s="1"/>
    </row>
    <row r="701" spans="1:1" ht="13.2" x14ac:dyDescent="0.25">
      <c r="A701" s="1"/>
    </row>
    <row r="702" spans="1:1" ht="13.2" x14ac:dyDescent="0.25">
      <c r="A702" s="1"/>
    </row>
    <row r="703" spans="1:1" ht="13.2" x14ac:dyDescent="0.25">
      <c r="A703" s="1"/>
    </row>
    <row r="704" spans="1:1" ht="13.2" x14ac:dyDescent="0.25">
      <c r="A704" s="1"/>
    </row>
    <row r="705" spans="1:1" ht="13.2" x14ac:dyDescent="0.25">
      <c r="A705" s="1"/>
    </row>
    <row r="706" spans="1:1" ht="13.2" x14ac:dyDescent="0.25">
      <c r="A706" s="1"/>
    </row>
    <row r="707" spans="1:1" ht="13.2" x14ac:dyDescent="0.25">
      <c r="A707" s="1"/>
    </row>
    <row r="708" spans="1:1" ht="13.2" x14ac:dyDescent="0.25">
      <c r="A708" s="1"/>
    </row>
    <row r="709" spans="1:1" ht="13.2" x14ac:dyDescent="0.25">
      <c r="A709" s="1"/>
    </row>
    <row r="710" spans="1:1" ht="13.2" x14ac:dyDescent="0.25">
      <c r="A710" s="1"/>
    </row>
    <row r="711" spans="1:1" ht="13.2" x14ac:dyDescent="0.25">
      <c r="A711" s="1"/>
    </row>
    <row r="712" spans="1:1" ht="13.2" x14ac:dyDescent="0.25">
      <c r="A712" s="1"/>
    </row>
    <row r="713" spans="1:1" ht="13.2" x14ac:dyDescent="0.25">
      <c r="A713" s="1"/>
    </row>
    <row r="714" spans="1:1" ht="13.2" x14ac:dyDescent="0.25">
      <c r="A714" s="1"/>
    </row>
    <row r="715" spans="1:1" ht="13.2" x14ac:dyDescent="0.25">
      <c r="A715" s="1"/>
    </row>
    <row r="716" spans="1:1" ht="13.2" x14ac:dyDescent="0.25">
      <c r="A716" s="1"/>
    </row>
    <row r="717" spans="1:1" ht="13.2" x14ac:dyDescent="0.25">
      <c r="A717" s="1"/>
    </row>
    <row r="718" spans="1:1" ht="13.2" x14ac:dyDescent="0.25">
      <c r="A718" s="1"/>
    </row>
    <row r="719" spans="1:1" ht="13.2" x14ac:dyDescent="0.25">
      <c r="A719" s="1"/>
    </row>
    <row r="720" spans="1:1" ht="13.2" x14ac:dyDescent="0.25">
      <c r="A720" s="1"/>
    </row>
    <row r="721" spans="1:1" ht="13.2" x14ac:dyDescent="0.25">
      <c r="A721" s="1"/>
    </row>
    <row r="722" spans="1:1" ht="13.2" x14ac:dyDescent="0.25">
      <c r="A722" s="1"/>
    </row>
    <row r="723" spans="1:1" ht="13.2" x14ac:dyDescent="0.25">
      <c r="A723" s="1"/>
    </row>
    <row r="724" spans="1:1" ht="13.2" x14ac:dyDescent="0.25">
      <c r="A724" s="1"/>
    </row>
    <row r="725" spans="1:1" ht="13.2" x14ac:dyDescent="0.25">
      <c r="A725" s="1"/>
    </row>
    <row r="726" spans="1:1" ht="13.2" x14ac:dyDescent="0.25">
      <c r="A726" s="1"/>
    </row>
    <row r="727" spans="1:1" ht="13.2" x14ac:dyDescent="0.25">
      <c r="A727" s="1"/>
    </row>
    <row r="728" spans="1:1" ht="13.2" x14ac:dyDescent="0.25">
      <c r="A728" s="1"/>
    </row>
    <row r="729" spans="1:1" ht="13.2" x14ac:dyDescent="0.25">
      <c r="A729" s="1"/>
    </row>
    <row r="730" spans="1:1" ht="13.2" x14ac:dyDescent="0.25">
      <c r="A730" s="1"/>
    </row>
    <row r="731" spans="1:1" ht="13.2" x14ac:dyDescent="0.25">
      <c r="A731" s="1"/>
    </row>
    <row r="732" spans="1:1" ht="13.2" x14ac:dyDescent="0.25">
      <c r="A732" s="1"/>
    </row>
    <row r="733" spans="1:1" ht="13.2" x14ac:dyDescent="0.25">
      <c r="A733" s="1"/>
    </row>
    <row r="734" spans="1:1" ht="13.2" x14ac:dyDescent="0.25">
      <c r="A734" s="1"/>
    </row>
    <row r="735" spans="1:1" ht="13.2" x14ac:dyDescent="0.25">
      <c r="A735" s="1"/>
    </row>
    <row r="736" spans="1:1" ht="13.2" x14ac:dyDescent="0.25">
      <c r="A736" s="1"/>
    </row>
    <row r="737" spans="1:1" ht="13.2" x14ac:dyDescent="0.25">
      <c r="A737" s="1"/>
    </row>
    <row r="738" spans="1:1" ht="13.2" x14ac:dyDescent="0.25">
      <c r="A738" s="1"/>
    </row>
    <row r="739" spans="1:1" ht="13.2" x14ac:dyDescent="0.25">
      <c r="A739" s="1"/>
    </row>
    <row r="740" spans="1:1" ht="13.2" x14ac:dyDescent="0.25">
      <c r="A740" s="1"/>
    </row>
    <row r="741" spans="1:1" ht="13.2" x14ac:dyDescent="0.25">
      <c r="A741" s="1"/>
    </row>
    <row r="742" spans="1:1" ht="13.2" x14ac:dyDescent="0.25">
      <c r="A742" s="1"/>
    </row>
    <row r="743" spans="1:1" ht="13.2" x14ac:dyDescent="0.25">
      <c r="A743" s="1"/>
    </row>
    <row r="744" spans="1:1" ht="13.2" x14ac:dyDescent="0.25">
      <c r="A744" s="1"/>
    </row>
    <row r="745" spans="1:1" ht="13.2" x14ac:dyDescent="0.25">
      <c r="A745" s="1"/>
    </row>
    <row r="746" spans="1:1" ht="13.2" x14ac:dyDescent="0.25">
      <c r="A746" s="1"/>
    </row>
    <row r="747" spans="1:1" ht="13.2" x14ac:dyDescent="0.25">
      <c r="A747" s="1"/>
    </row>
    <row r="748" spans="1:1" ht="13.2" x14ac:dyDescent="0.25">
      <c r="A748" s="1"/>
    </row>
    <row r="749" spans="1:1" ht="13.2" x14ac:dyDescent="0.25">
      <c r="A749" s="1"/>
    </row>
    <row r="750" spans="1:1" ht="13.2" x14ac:dyDescent="0.25">
      <c r="A750" s="1"/>
    </row>
    <row r="751" spans="1:1" ht="13.2" x14ac:dyDescent="0.25">
      <c r="A751" s="1"/>
    </row>
    <row r="752" spans="1:1" ht="13.2" x14ac:dyDescent="0.25">
      <c r="A752" s="1"/>
    </row>
    <row r="753" spans="1:1" ht="13.2" x14ac:dyDescent="0.25">
      <c r="A753" s="1"/>
    </row>
    <row r="754" spans="1:1" ht="13.2" x14ac:dyDescent="0.25">
      <c r="A754" s="1"/>
    </row>
    <row r="755" spans="1:1" ht="13.2" x14ac:dyDescent="0.25">
      <c r="A755" s="1"/>
    </row>
    <row r="756" spans="1:1" ht="13.2" x14ac:dyDescent="0.25">
      <c r="A756" s="1"/>
    </row>
    <row r="757" spans="1:1" ht="13.2" x14ac:dyDescent="0.25">
      <c r="A757" s="1"/>
    </row>
    <row r="758" spans="1:1" ht="13.2" x14ac:dyDescent="0.25">
      <c r="A758" s="1"/>
    </row>
    <row r="759" spans="1:1" ht="13.2" x14ac:dyDescent="0.25">
      <c r="A759" s="1"/>
    </row>
    <row r="760" spans="1:1" ht="13.2" x14ac:dyDescent="0.25">
      <c r="A760" s="1"/>
    </row>
    <row r="761" spans="1:1" ht="13.2" x14ac:dyDescent="0.25">
      <c r="A761" s="1"/>
    </row>
    <row r="762" spans="1:1" ht="13.2" x14ac:dyDescent="0.25">
      <c r="A762" s="1"/>
    </row>
    <row r="763" spans="1:1" ht="13.2" x14ac:dyDescent="0.25">
      <c r="A763" s="1"/>
    </row>
    <row r="764" spans="1:1" ht="13.2" x14ac:dyDescent="0.25">
      <c r="A764" s="1"/>
    </row>
    <row r="765" spans="1:1" ht="13.2" x14ac:dyDescent="0.25">
      <c r="A765" s="1"/>
    </row>
    <row r="766" spans="1:1" ht="13.2" x14ac:dyDescent="0.25">
      <c r="A766" s="1"/>
    </row>
    <row r="767" spans="1:1" ht="13.2" x14ac:dyDescent="0.25">
      <c r="A767" s="1"/>
    </row>
    <row r="768" spans="1:1" ht="13.2" x14ac:dyDescent="0.25">
      <c r="A768" s="1"/>
    </row>
    <row r="769" spans="1:1" ht="13.2" x14ac:dyDescent="0.25">
      <c r="A769" s="1"/>
    </row>
    <row r="770" spans="1:1" ht="13.2" x14ac:dyDescent="0.25">
      <c r="A770" s="1"/>
    </row>
    <row r="771" spans="1:1" ht="13.2" x14ac:dyDescent="0.25">
      <c r="A771" s="1"/>
    </row>
    <row r="772" spans="1:1" ht="13.2" x14ac:dyDescent="0.25">
      <c r="A772" s="1"/>
    </row>
    <row r="773" spans="1:1" ht="13.2" x14ac:dyDescent="0.25">
      <c r="A773" s="1"/>
    </row>
    <row r="774" spans="1:1" ht="13.2" x14ac:dyDescent="0.25">
      <c r="A774" s="1"/>
    </row>
    <row r="775" spans="1:1" ht="13.2" x14ac:dyDescent="0.25">
      <c r="A775" s="1"/>
    </row>
    <row r="776" spans="1:1" ht="13.2" x14ac:dyDescent="0.25">
      <c r="A776" s="1"/>
    </row>
    <row r="777" spans="1:1" ht="13.2" x14ac:dyDescent="0.25">
      <c r="A777" s="1"/>
    </row>
    <row r="778" spans="1:1" ht="13.2" x14ac:dyDescent="0.25">
      <c r="A778" s="1"/>
    </row>
    <row r="779" spans="1:1" ht="13.2" x14ac:dyDescent="0.25">
      <c r="A779" s="1"/>
    </row>
    <row r="780" spans="1:1" ht="13.2" x14ac:dyDescent="0.25">
      <c r="A780" s="1"/>
    </row>
    <row r="781" spans="1:1" ht="13.2" x14ac:dyDescent="0.25">
      <c r="A781" s="1"/>
    </row>
    <row r="782" spans="1:1" ht="13.2" x14ac:dyDescent="0.25">
      <c r="A782" s="1"/>
    </row>
    <row r="783" spans="1:1" ht="13.2" x14ac:dyDescent="0.25">
      <c r="A783" s="1"/>
    </row>
    <row r="784" spans="1:1" ht="13.2" x14ac:dyDescent="0.25">
      <c r="A784" s="1"/>
    </row>
    <row r="785" spans="1:1" ht="13.2" x14ac:dyDescent="0.25">
      <c r="A785" s="1"/>
    </row>
    <row r="786" spans="1:1" ht="13.2" x14ac:dyDescent="0.25">
      <c r="A786" s="1"/>
    </row>
    <row r="787" spans="1:1" ht="13.2" x14ac:dyDescent="0.25">
      <c r="A787" s="1"/>
    </row>
    <row r="788" spans="1:1" ht="13.2" x14ac:dyDescent="0.25">
      <c r="A788" s="1"/>
    </row>
    <row r="789" spans="1:1" ht="13.2" x14ac:dyDescent="0.25">
      <c r="A789" s="1"/>
    </row>
    <row r="790" spans="1:1" ht="13.2" x14ac:dyDescent="0.25">
      <c r="A790" s="1"/>
    </row>
    <row r="791" spans="1:1" ht="13.2" x14ac:dyDescent="0.25">
      <c r="A791" s="1"/>
    </row>
    <row r="792" spans="1:1" ht="13.2" x14ac:dyDescent="0.25">
      <c r="A792" s="1"/>
    </row>
    <row r="793" spans="1:1" ht="13.2" x14ac:dyDescent="0.25">
      <c r="A793" s="1"/>
    </row>
    <row r="794" spans="1:1" ht="13.2" x14ac:dyDescent="0.25">
      <c r="A794" s="1"/>
    </row>
    <row r="795" spans="1:1" ht="13.2" x14ac:dyDescent="0.25">
      <c r="A795" s="1"/>
    </row>
    <row r="796" spans="1:1" ht="13.2" x14ac:dyDescent="0.25">
      <c r="A796" s="1"/>
    </row>
    <row r="797" spans="1:1" ht="13.2" x14ac:dyDescent="0.25">
      <c r="A797" s="1"/>
    </row>
    <row r="798" spans="1:1" ht="13.2" x14ac:dyDescent="0.25">
      <c r="A798" s="1"/>
    </row>
    <row r="799" spans="1:1" ht="13.2" x14ac:dyDescent="0.25">
      <c r="A799" s="1"/>
    </row>
    <row r="800" spans="1:1" ht="13.2" x14ac:dyDescent="0.25">
      <c r="A800" s="1"/>
    </row>
    <row r="801" spans="1:1" ht="13.2" x14ac:dyDescent="0.25">
      <c r="A801" s="1"/>
    </row>
    <row r="802" spans="1:1" ht="13.2" x14ac:dyDescent="0.25">
      <c r="A802" s="1"/>
    </row>
    <row r="803" spans="1:1" ht="13.2" x14ac:dyDescent="0.25">
      <c r="A803" s="1"/>
    </row>
    <row r="804" spans="1:1" ht="13.2" x14ac:dyDescent="0.25">
      <c r="A804" s="1"/>
    </row>
    <row r="805" spans="1:1" ht="13.2" x14ac:dyDescent="0.25">
      <c r="A805" s="1"/>
    </row>
    <row r="806" spans="1:1" ht="13.2" x14ac:dyDescent="0.25">
      <c r="A806" s="1"/>
    </row>
    <row r="807" spans="1:1" ht="13.2" x14ac:dyDescent="0.25">
      <c r="A807" s="1"/>
    </row>
    <row r="808" spans="1:1" ht="13.2" x14ac:dyDescent="0.25">
      <c r="A808" s="1"/>
    </row>
    <row r="809" spans="1:1" ht="13.2" x14ac:dyDescent="0.25">
      <c r="A809" s="1"/>
    </row>
    <row r="810" spans="1:1" ht="13.2" x14ac:dyDescent="0.25">
      <c r="A810" s="1"/>
    </row>
    <row r="811" spans="1:1" ht="13.2" x14ac:dyDescent="0.25">
      <c r="A811" s="1"/>
    </row>
    <row r="812" spans="1:1" ht="13.2" x14ac:dyDescent="0.25">
      <c r="A812" s="1"/>
    </row>
    <row r="813" spans="1:1" ht="13.2" x14ac:dyDescent="0.25">
      <c r="A813" s="1"/>
    </row>
    <row r="814" spans="1:1" ht="13.2" x14ac:dyDescent="0.25">
      <c r="A814" s="1"/>
    </row>
    <row r="815" spans="1:1" ht="13.2" x14ac:dyDescent="0.25">
      <c r="A815" s="1"/>
    </row>
    <row r="816" spans="1:1" ht="13.2" x14ac:dyDescent="0.25">
      <c r="A816" s="1"/>
    </row>
    <row r="817" spans="1:1" ht="13.2" x14ac:dyDescent="0.25">
      <c r="A817" s="1"/>
    </row>
    <row r="818" spans="1:1" ht="13.2" x14ac:dyDescent="0.25">
      <c r="A818" s="1"/>
    </row>
    <row r="819" spans="1:1" ht="13.2" x14ac:dyDescent="0.25">
      <c r="A819" s="1"/>
    </row>
    <row r="820" spans="1:1" ht="13.2" x14ac:dyDescent="0.25">
      <c r="A820" s="1"/>
    </row>
    <row r="821" spans="1:1" ht="13.2" x14ac:dyDescent="0.25">
      <c r="A821" s="1"/>
    </row>
    <row r="822" spans="1:1" ht="13.2" x14ac:dyDescent="0.25">
      <c r="A822" s="1"/>
    </row>
    <row r="823" spans="1:1" ht="13.2" x14ac:dyDescent="0.25">
      <c r="A823" s="1"/>
    </row>
    <row r="824" spans="1:1" ht="13.2" x14ac:dyDescent="0.25">
      <c r="A824" s="1"/>
    </row>
    <row r="825" spans="1:1" ht="13.2" x14ac:dyDescent="0.25">
      <c r="A825" s="1"/>
    </row>
    <row r="826" spans="1:1" ht="13.2" x14ac:dyDescent="0.25">
      <c r="A826" s="1"/>
    </row>
    <row r="827" spans="1:1" ht="13.2" x14ac:dyDescent="0.25">
      <c r="A827" s="1"/>
    </row>
    <row r="828" spans="1:1" ht="13.2" x14ac:dyDescent="0.25">
      <c r="A828" s="1"/>
    </row>
    <row r="829" spans="1:1" ht="13.2" x14ac:dyDescent="0.25">
      <c r="A829" s="1"/>
    </row>
    <row r="830" spans="1:1" ht="13.2" x14ac:dyDescent="0.25">
      <c r="A830" s="1"/>
    </row>
    <row r="831" spans="1:1" ht="13.2" x14ac:dyDescent="0.25">
      <c r="A831" s="1"/>
    </row>
    <row r="832" spans="1:1" ht="13.2" x14ac:dyDescent="0.25">
      <c r="A832" s="1"/>
    </row>
    <row r="833" spans="1:1" ht="13.2" x14ac:dyDescent="0.25">
      <c r="A833" s="1"/>
    </row>
    <row r="834" spans="1:1" ht="13.2" x14ac:dyDescent="0.25">
      <c r="A834" s="1"/>
    </row>
    <row r="835" spans="1:1" ht="13.2" x14ac:dyDescent="0.25">
      <c r="A835" s="1"/>
    </row>
    <row r="836" spans="1:1" ht="13.2" x14ac:dyDescent="0.25">
      <c r="A836" s="1"/>
    </row>
    <row r="837" spans="1:1" ht="13.2" x14ac:dyDescent="0.25">
      <c r="A837" s="1"/>
    </row>
    <row r="838" spans="1:1" ht="13.2" x14ac:dyDescent="0.25">
      <c r="A838" s="1"/>
    </row>
    <row r="839" spans="1:1" ht="13.2" x14ac:dyDescent="0.25">
      <c r="A839" s="1"/>
    </row>
    <row r="840" spans="1:1" ht="13.2" x14ac:dyDescent="0.25">
      <c r="A840" s="1"/>
    </row>
    <row r="841" spans="1:1" ht="13.2" x14ac:dyDescent="0.25">
      <c r="A841" s="1"/>
    </row>
    <row r="842" spans="1:1" ht="13.2" x14ac:dyDescent="0.25">
      <c r="A842" s="1"/>
    </row>
    <row r="843" spans="1:1" ht="13.2" x14ac:dyDescent="0.25">
      <c r="A843" s="1"/>
    </row>
    <row r="844" spans="1:1" ht="13.2" x14ac:dyDescent="0.25">
      <c r="A844" s="1"/>
    </row>
    <row r="845" spans="1:1" ht="13.2" x14ac:dyDescent="0.25">
      <c r="A845" s="1"/>
    </row>
    <row r="846" spans="1:1" ht="13.2" x14ac:dyDescent="0.25">
      <c r="A846" s="1"/>
    </row>
    <row r="847" spans="1:1" ht="13.2" x14ac:dyDescent="0.25">
      <c r="A847" s="1"/>
    </row>
    <row r="848" spans="1:1" ht="13.2" x14ac:dyDescent="0.25">
      <c r="A848" s="1"/>
    </row>
    <row r="849" spans="1:1" ht="13.2" x14ac:dyDescent="0.25">
      <c r="A849" s="1"/>
    </row>
    <row r="850" spans="1:1" ht="13.2" x14ac:dyDescent="0.25">
      <c r="A850" s="1"/>
    </row>
    <row r="851" spans="1:1" ht="13.2" x14ac:dyDescent="0.25">
      <c r="A851" s="1"/>
    </row>
    <row r="852" spans="1:1" ht="13.2" x14ac:dyDescent="0.25">
      <c r="A852" s="1"/>
    </row>
    <row r="853" spans="1:1" ht="13.2" x14ac:dyDescent="0.25">
      <c r="A853" s="1"/>
    </row>
    <row r="854" spans="1:1" ht="13.2" x14ac:dyDescent="0.25">
      <c r="A854" s="1"/>
    </row>
    <row r="855" spans="1:1" ht="13.2" x14ac:dyDescent="0.25">
      <c r="A855" s="1"/>
    </row>
    <row r="856" spans="1:1" ht="13.2" x14ac:dyDescent="0.25">
      <c r="A856" s="1"/>
    </row>
    <row r="857" spans="1:1" ht="13.2" x14ac:dyDescent="0.25">
      <c r="A857" s="1"/>
    </row>
    <row r="858" spans="1:1" ht="13.2" x14ac:dyDescent="0.25">
      <c r="A858" s="1"/>
    </row>
    <row r="859" spans="1:1" ht="13.2" x14ac:dyDescent="0.25">
      <c r="A859" s="1"/>
    </row>
    <row r="860" spans="1:1" ht="13.2" x14ac:dyDescent="0.25">
      <c r="A860" s="1"/>
    </row>
    <row r="861" spans="1:1" ht="13.2" x14ac:dyDescent="0.25">
      <c r="A861" s="1"/>
    </row>
    <row r="862" spans="1:1" ht="13.2" x14ac:dyDescent="0.25">
      <c r="A862" s="1"/>
    </row>
    <row r="863" spans="1:1" ht="13.2" x14ac:dyDescent="0.25">
      <c r="A863" s="1"/>
    </row>
    <row r="864" spans="1:1" ht="13.2" x14ac:dyDescent="0.25">
      <c r="A864" s="1"/>
    </row>
    <row r="865" spans="1:1" ht="13.2" x14ac:dyDescent="0.25">
      <c r="A865" s="1"/>
    </row>
    <row r="866" spans="1:1" ht="13.2" x14ac:dyDescent="0.25">
      <c r="A866" s="1"/>
    </row>
    <row r="867" spans="1:1" ht="13.2" x14ac:dyDescent="0.25">
      <c r="A867" s="1"/>
    </row>
    <row r="868" spans="1:1" ht="13.2" x14ac:dyDescent="0.25">
      <c r="A868" s="1"/>
    </row>
    <row r="869" spans="1:1" ht="13.2" x14ac:dyDescent="0.25">
      <c r="A869" s="1"/>
    </row>
    <row r="870" spans="1:1" ht="13.2" x14ac:dyDescent="0.25">
      <c r="A870" s="1"/>
    </row>
    <row r="871" spans="1:1" ht="13.2" x14ac:dyDescent="0.25">
      <c r="A871" s="1"/>
    </row>
    <row r="872" spans="1:1" ht="13.2" x14ac:dyDescent="0.25">
      <c r="A872" s="1"/>
    </row>
    <row r="873" spans="1:1" ht="13.2" x14ac:dyDescent="0.25">
      <c r="A873" s="1"/>
    </row>
    <row r="874" spans="1:1" ht="13.2" x14ac:dyDescent="0.25">
      <c r="A874" s="1"/>
    </row>
    <row r="875" spans="1:1" ht="13.2" x14ac:dyDescent="0.25">
      <c r="A875" s="1"/>
    </row>
    <row r="876" spans="1:1" ht="13.2" x14ac:dyDescent="0.25">
      <c r="A876" s="1"/>
    </row>
    <row r="877" spans="1:1" ht="13.2" x14ac:dyDescent="0.25">
      <c r="A877" s="1"/>
    </row>
    <row r="878" spans="1:1" ht="13.2" x14ac:dyDescent="0.25">
      <c r="A878" s="1"/>
    </row>
    <row r="879" spans="1:1" ht="13.2" x14ac:dyDescent="0.25">
      <c r="A879" s="1"/>
    </row>
    <row r="880" spans="1:1" ht="13.2" x14ac:dyDescent="0.25">
      <c r="A880" s="1"/>
    </row>
    <row r="881" spans="1:1" ht="13.2" x14ac:dyDescent="0.25">
      <c r="A881" s="1"/>
    </row>
    <row r="882" spans="1:1" ht="13.2" x14ac:dyDescent="0.25">
      <c r="A882" s="1"/>
    </row>
    <row r="883" spans="1:1" ht="13.2" x14ac:dyDescent="0.25">
      <c r="A883" s="1"/>
    </row>
    <row r="884" spans="1:1" ht="13.2" x14ac:dyDescent="0.25">
      <c r="A884" s="1"/>
    </row>
    <row r="885" spans="1:1" ht="13.2" x14ac:dyDescent="0.25">
      <c r="A885" s="1"/>
    </row>
    <row r="886" spans="1:1" ht="13.2" x14ac:dyDescent="0.25">
      <c r="A886" s="1"/>
    </row>
    <row r="887" spans="1:1" ht="13.2" x14ac:dyDescent="0.25">
      <c r="A887" s="1"/>
    </row>
    <row r="888" spans="1:1" ht="13.2" x14ac:dyDescent="0.25">
      <c r="A888" s="1"/>
    </row>
    <row r="889" spans="1:1" ht="13.2" x14ac:dyDescent="0.25">
      <c r="A889" s="1"/>
    </row>
    <row r="890" spans="1:1" ht="13.2" x14ac:dyDescent="0.25">
      <c r="A890" s="1"/>
    </row>
    <row r="891" spans="1:1" ht="13.2" x14ac:dyDescent="0.25">
      <c r="A891" s="1"/>
    </row>
    <row r="892" spans="1:1" ht="13.2" x14ac:dyDescent="0.25">
      <c r="A892" s="1"/>
    </row>
    <row r="893" spans="1:1" ht="13.2" x14ac:dyDescent="0.25">
      <c r="A893" s="1"/>
    </row>
    <row r="894" spans="1:1" ht="13.2" x14ac:dyDescent="0.25">
      <c r="A894" s="1"/>
    </row>
    <row r="895" spans="1:1" ht="13.2" x14ac:dyDescent="0.25">
      <c r="A895" s="1"/>
    </row>
    <row r="896" spans="1:1" ht="13.2" x14ac:dyDescent="0.25">
      <c r="A896" s="1"/>
    </row>
    <row r="897" spans="1:1" ht="13.2" x14ac:dyDescent="0.25">
      <c r="A897" s="1"/>
    </row>
    <row r="898" spans="1:1" ht="13.2" x14ac:dyDescent="0.25">
      <c r="A898" s="1"/>
    </row>
    <row r="899" spans="1:1" ht="13.2" x14ac:dyDescent="0.25">
      <c r="A899" s="1"/>
    </row>
    <row r="900" spans="1:1" ht="13.2" x14ac:dyDescent="0.25">
      <c r="A900" s="1"/>
    </row>
    <row r="901" spans="1:1" ht="13.2" x14ac:dyDescent="0.25">
      <c r="A901" s="1"/>
    </row>
    <row r="902" spans="1:1" ht="13.2" x14ac:dyDescent="0.25">
      <c r="A902" s="1"/>
    </row>
    <row r="903" spans="1:1" ht="13.2" x14ac:dyDescent="0.25">
      <c r="A903" s="1"/>
    </row>
    <row r="904" spans="1:1" ht="13.2" x14ac:dyDescent="0.25">
      <c r="A904" s="1"/>
    </row>
    <row r="905" spans="1:1" ht="13.2" x14ac:dyDescent="0.25">
      <c r="A905" s="1"/>
    </row>
    <row r="906" spans="1:1" ht="13.2" x14ac:dyDescent="0.25">
      <c r="A906" s="1"/>
    </row>
    <row r="907" spans="1:1" ht="13.2" x14ac:dyDescent="0.25">
      <c r="A907" s="1"/>
    </row>
    <row r="908" spans="1:1" ht="13.2" x14ac:dyDescent="0.25">
      <c r="A908" s="1"/>
    </row>
    <row r="909" spans="1:1" ht="13.2" x14ac:dyDescent="0.25">
      <c r="A909" s="1"/>
    </row>
    <row r="910" spans="1:1" ht="13.2" x14ac:dyDescent="0.25">
      <c r="A910" s="1"/>
    </row>
    <row r="911" spans="1:1" ht="13.2" x14ac:dyDescent="0.25">
      <c r="A911" s="1"/>
    </row>
    <row r="912" spans="1:1" ht="13.2" x14ac:dyDescent="0.25">
      <c r="A912" s="1"/>
    </row>
    <row r="913" spans="1:1" ht="13.2" x14ac:dyDescent="0.25">
      <c r="A913" s="1"/>
    </row>
    <row r="914" spans="1:1" ht="13.2" x14ac:dyDescent="0.25">
      <c r="A914" s="1"/>
    </row>
    <row r="915" spans="1:1" ht="13.2" x14ac:dyDescent="0.25">
      <c r="A915" s="1"/>
    </row>
    <row r="916" spans="1:1" ht="13.2" x14ac:dyDescent="0.25">
      <c r="A916" s="1"/>
    </row>
    <row r="917" spans="1:1" ht="13.2" x14ac:dyDescent="0.25">
      <c r="A917" s="1"/>
    </row>
    <row r="918" spans="1:1" ht="13.2" x14ac:dyDescent="0.25">
      <c r="A918" s="1"/>
    </row>
    <row r="919" spans="1:1" ht="13.2" x14ac:dyDescent="0.25">
      <c r="A919" s="1"/>
    </row>
    <row r="920" spans="1:1" ht="13.2" x14ac:dyDescent="0.25">
      <c r="A920" s="1"/>
    </row>
    <row r="921" spans="1:1" ht="13.2" x14ac:dyDescent="0.25">
      <c r="A921" s="1"/>
    </row>
    <row r="922" spans="1:1" ht="13.2" x14ac:dyDescent="0.25">
      <c r="A922" s="1"/>
    </row>
    <row r="923" spans="1:1" ht="13.2" x14ac:dyDescent="0.25">
      <c r="A923" s="1"/>
    </row>
    <row r="924" spans="1:1" ht="13.2" x14ac:dyDescent="0.25">
      <c r="A924" s="1"/>
    </row>
    <row r="925" spans="1:1" ht="13.2" x14ac:dyDescent="0.25">
      <c r="A925" s="1"/>
    </row>
    <row r="926" spans="1:1" ht="13.2" x14ac:dyDescent="0.25">
      <c r="A926" s="1"/>
    </row>
    <row r="927" spans="1:1" ht="13.2" x14ac:dyDescent="0.25">
      <c r="A927" s="1"/>
    </row>
    <row r="928" spans="1:1" ht="13.2" x14ac:dyDescent="0.25">
      <c r="A928" s="1"/>
    </row>
    <row r="929" spans="1:1" ht="13.2" x14ac:dyDescent="0.25">
      <c r="A929" s="1"/>
    </row>
    <row r="930" spans="1:1" ht="13.2" x14ac:dyDescent="0.25">
      <c r="A930" s="1"/>
    </row>
    <row r="931" spans="1:1" ht="13.2" x14ac:dyDescent="0.25">
      <c r="A931" s="1"/>
    </row>
    <row r="932" spans="1:1" ht="13.2" x14ac:dyDescent="0.25">
      <c r="A932" s="1"/>
    </row>
    <row r="933" spans="1:1" ht="13.2" x14ac:dyDescent="0.25">
      <c r="A933" s="1"/>
    </row>
    <row r="934" spans="1:1" ht="13.2" x14ac:dyDescent="0.25">
      <c r="A934" s="1"/>
    </row>
    <row r="935" spans="1:1" ht="13.2" x14ac:dyDescent="0.25">
      <c r="A935" s="1"/>
    </row>
    <row r="936" spans="1:1" ht="13.2" x14ac:dyDescent="0.25">
      <c r="A936" s="1"/>
    </row>
    <row r="937" spans="1:1" ht="13.2" x14ac:dyDescent="0.25">
      <c r="A937" s="1"/>
    </row>
    <row r="938" spans="1:1" ht="13.2" x14ac:dyDescent="0.25">
      <c r="A938" s="1"/>
    </row>
    <row r="939" spans="1:1" ht="13.2" x14ac:dyDescent="0.25">
      <c r="A939" s="1"/>
    </row>
    <row r="940" spans="1:1" ht="13.2" x14ac:dyDescent="0.25">
      <c r="A940" s="1"/>
    </row>
    <row r="941" spans="1:1" ht="13.2" x14ac:dyDescent="0.25">
      <c r="A941" s="1"/>
    </row>
    <row r="942" spans="1:1" ht="13.2" x14ac:dyDescent="0.25">
      <c r="A942" s="1"/>
    </row>
    <row r="943" spans="1:1" ht="13.2" x14ac:dyDescent="0.25">
      <c r="A943" s="1"/>
    </row>
    <row r="944" spans="1:1" ht="13.2" x14ac:dyDescent="0.25">
      <c r="A944" s="1"/>
    </row>
    <row r="945" spans="1:1" ht="13.2" x14ac:dyDescent="0.25">
      <c r="A945" s="1"/>
    </row>
    <row r="946" spans="1:1" ht="13.2" x14ac:dyDescent="0.25">
      <c r="A946" s="1"/>
    </row>
    <row r="947" spans="1:1" ht="13.2" x14ac:dyDescent="0.25">
      <c r="A947" s="1"/>
    </row>
    <row r="948" spans="1:1" ht="13.2" x14ac:dyDescent="0.25">
      <c r="A948" s="1"/>
    </row>
    <row r="949" spans="1:1" ht="13.2" x14ac:dyDescent="0.25">
      <c r="A949" s="1"/>
    </row>
    <row r="950" spans="1:1" ht="13.2" x14ac:dyDescent="0.25">
      <c r="A950" s="1"/>
    </row>
    <row r="951" spans="1:1" ht="13.2" x14ac:dyDescent="0.25">
      <c r="A951" s="1"/>
    </row>
    <row r="952" spans="1:1" ht="13.2" x14ac:dyDescent="0.25">
      <c r="A952" s="1"/>
    </row>
    <row r="953" spans="1:1" ht="13.2" x14ac:dyDescent="0.25">
      <c r="A953" s="1"/>
    </row>
    <row r="954" spans="1:1" ht="13.2" x14ac:dyDescent="0.25">
      <c r="A954" s="1"/>
    </row>
    <row r="955" spans="1:1" ht="13.2" x14ac:dyDescent="0.25">
      <c r="A955" s="1"/>
    </row>
    <row r="956" spans="1:1" ht="13.2" x14ac:dyDescent="0.25">
      <c r="A956" s="1"/>
    </row>
    <row r="957" spans="1:1" ht="13.2" x14ac:dyDescent="0.25">
      <c r="A957" s="1"/>
    </row>
    <row r="958" spans="1:1" ht="13.2" x14ac:dyDescent="0.25">
      <c r="A958" s="1"/>
    </row>
    <row r="959" spans="1:1" ht="13.2" x14ac:dyDescent="0.25">
      <c r="A959" s="1"/>
    </row>
    <row r="960" spans="1:1" ht="13.2" x14ac:dyDescent="0.25">
      <c r="A960" s="1"/>
    </row>
    <row r="961" spans="1:1" ht="13.2" x14ac:dyDescent="0.25">
      <c r="A961" s="1"/>
    </row>
    <row r="962" spans="1:1" ht="13.2" x14ac:dyDescent="0.25">
      <c r="A962" s="1"/>
    </row>
    <row r="963" spans="1:1" ht="13.2" x14ac:dyDescent="0.25">
      <c r="A963" s="1"/>
    </row>
    <row r="964" spans="1:1" ht="13.2" x14ac:dyDescent="0.25">
      <c r="A964" s="1"/>
    </row>
    <row r="965" spans="1:1" ht="13.2" x14ac:dyDescent="0.25">
      <c r="A965" s="1"/>
    </row>
    <row r="966" spans="1:1" ht="13.2" x14ac:dyDescent="0.25">
      <c r="A966" s="1"/>
    </row>
    <row r="967" spans="1:1" ht="13.2" x14ac:dyDescent="0.25">
      <c r="A967" s="1"/>
    </row>
    <row r="968" spans="1:1" ht="13.2" x14ac:dyDescent="0.25">
      <c r="A968" s="1"/>
    </row>
    <row r="969" spans="1:1" ht="13.2" x14ac:dyDescent="0.25">
      <c r="A969" s="1"/>
    </row>
    <row r="970" spans="1:1" ht="13.2" x14ac:dyDescent="0.25">
      <c r="A970" s="1"/>
    </row>
    <row r="971" spans="1:1" ht="13.2" x14ac:dyDescent="0.25">
      <c r="A971" s="1"/>
    </row>
    <row r="972" spans="1:1" ht="13.2" x14ac:dyDescent="0.25">
      <c r="A972" s="1"/>
    </row>
    <row r="973" spans="1:1" ht="13.2" x14ac:dyDescent="0.25">
      <c r="A973" s="1"/>
    </row>
    <row r="974" spans="1:1" ht="13.2" x14ac:dyDescent="0.25">
      <c r="A974" s="1"/>
    </row>
    <row r="975" spans="1:1" ht="13.2" x14ac:dyDescent="0.25">
      <c r="A975" s="1"/>
    </row>
    <row r="976" spans="1:1" ht="13.2" x14ac:dyDescent="0.25">
      <c r="A976" s="1"/>
    </row>
    <row r="977" spans="1:1" ht="13.2" x14ac:dyDescent="0.25">
      <c r="A977" s="1"/>
    </row>
    <row r="978" spans="1:1" ht="13.2" x14ac:dyDescent="0.25">
      <c r="A978" s="1"/>
    </row>
    <row r="979" spans="1:1" ht="13.2" x14ac:dyDescent="0.25">
      <c r="A979" s="1"/>
    </row>
    <row r="980" spans="1:1" ht="13.2" x14ac:dyDescent="0.25">
      <c r="A980" s="1"/>
    </row>
    <row r="981" spans="1:1" ht="13.2" x14ac:dyDescent="0.25">
      <c r="A981" s="1"/>
    </row>
    <row r="982" spans="1:1" ht="13.2" x14ac:dyDescent="0.25">
      <c r="A982" s="1"/>
    </row>
    <row r="983" spans="1:1" ht="13.2" x14ac:dyDescent="0.25">
      <c r="A983" s="1"/>
    </row>
    <row r="984" spans="1:1" ht="13.2" x14ac:dyDescent="0.25">
      <c r="A984" s="1"/>
    </row>
    <row r="985" spans="1:1" ht="13.2" x14ac:dyDescent="0.25">
      <c r="A985" s="1"/>
    </row>
    <row r="986" spans="1:1" ht="13.2" x14ac:dyDescent="0.25">
      <c r="A986" s="1"/>
    </row>
    <row r="987" spans="1:1" ht="13.2" x14ac:dyDescent="0.25">
      <c r="A987" s="1"/>
    </row>
    <row r="988" spans="1:1" ht="13.2" x14ac:dyDescent="0.25">
      <c r="A988" s="1"/>
    </row>
    <row r="989" spans="1:1" ht="13.2" x14ac:dyDescent="0.25">
      <c r="A989" s="1"/>
    </row>
    <row r="990" spans="1:1" ht="13.2" x14ac:dyDescent="0.25">
      <c r="A990" s="1"/>
    </row>
    <row r="991" spans="1:1" ht="13.2" x14ac:dyDescent="0.25">
      <c r="A991" s="1"/>
    </row>
    <row r="992" spans="1:1" ht="13.2" x14ac:dyDescent="0.25">
      <c r="A992" s="1"/>
    </row>
    <row r="993" spans="1:1" ht="13.2" x14ac:dyDescent="0.25">
      <c r="A993" s="1"/>
    </row>
    <row r="994" spans="1:1" ht="13.2" x14ac:dyDescent="0.25">
      <c r="A994" s="1"/>
    </row>
    <row r="995" spans="1:1" ht="13.2" x14ac:dyDescent="0.25">
      <c r="A995" s="1"/>
    </row>
    <row r="996" spans="1:1" ht="13.2" x14ac:dyDescent="0.25">
      <c r="A996" s="1"/>
    </row>
    <row r="997" spans="1:1" ht="13.2" x14ac:dyDescent="0.25">
      <c r="A997" s="1"/>
    </row>
    <row r="998" spans="1:1" ht="13.2" x14ac:dyDescent="0.25">
      <c r="A998" s="1"/>
    </row>
    <row r="999" spans="1:1" ht="13.2" x14ac:dyDescent="0.25">
      <c r="A999" s="1"/>
    </row>
    <row r="1000" spans="1:1" ht="13.2" x14ac:dyDescent="0.25">
      <c r="A1000" s="1"/>
    </row>
    <row r="1001" spans="1:1" ht="13.2" x14ac:dyDescent="0.25">
      <c r="A1001" s="1"/>
    </row>
    <row r="1002" spans="1:1" ht="13.2" x14ac:dyDescent="0.25">
      <c r="A1002" s="1"/>
    </row>
    <row r="1003" spans="1:1" ht="13.2" x14ac:dyDescent="0.25">
      <c r="A1003" s="1"/>
    </row>
    <row r="1004" spans="1:1" ht="13.2" x14ac:dyDescent="0.25">
      <c r="A1004" s="1"/>
    </row>
    <row r="1005" spans="1:1" ht="13.2" x14ac:dyDescent="0.25">
      <c r="A1005" s="1"/>
    </row>
    <row r="1006" spans="1:1" ht="13.2" x14ac:dyDescent="0.25">
      <c r="A1006" s="1"/>
    </row>
  </sheetData>
  <mergeCells count="8">
    <mergeCell ref="A78:C78"/>
    <mergeCell ref="A79:C79"/>
    <mergeCell ref="A1:M1"/>
    <mergeCell ref="A12:C12"/>
    <mergeCell ref="A29:C29"/>
    <mergeCell ref="A47:C47"/>
    <mergeCell ref="A59:C59"/>
    <mergeCell ref="A72:C72"/>
  </mergeCells>
  <conditionalFormatting sqref="J752">
    <cfRule type="notContainsBlanks" dxfId="2" priority="3">
      <formula>LEN(TRIM(J752))&gt;0</formula>
    </cfRule>
  </conditionalFormatting>
  <conditionalFormatting sqref="M4:P79">
    <cfRule type="cellIs" dxfId="1" priority="1" operator="greaterThan">
      <formula>0</formula>
    </cfRule>
    <cfRule type="cellIs" dxfId="0" priority="2" operator="lessThanOr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Selisih Penduduk 09092026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PRIDOLIN BATO</cp:lastModifiedBy>
  <dcterms:modified xsi:type="dcterms:W3CDTF">2026-09-14T08:27:43Z</dcterms:modified>
</cp:coreProperties>
</file>